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NEGÓCIOS Gaby\Empresas - Por NICHO\RADAR DE PROJETOS\PRODUTOS\Produtos - PAGOS\003 - Ebook - Como implantar um Escritório de Projetos\Documentos do projeto\Modelo Template\"/>
    </mc:Choice>
  </mc:AlternateContent>
  <xr:revisionPtr revIDLastSave="0" documentId="13_ncr:1_{38D4E1CE-5485-451A-878D-6CB11A0F3F62}" xr6:coauthVersionLast="47" xr6:coauthVersionMax="47" xr10:uidLastSave="{00000000-0000-0000-0000-000000000000}"/>
  <bookViews>
    <workbookView xWindow="-108" yWindow="-108" windowWidth="23256" windowHeight="12456" tabRatio="953" xr2:uid="{00000000-000D-0000-FFFF-FFFF00000000}"/>
  </bookViews>
  <sheets>
    <sheet name="5W2H_radardeprojetos" sheetId="4" r:id="rId1"/>
  </sheets>
  <definedNames>
    <definedName name="_xlnm._FilterDatabase" localSheetId="0" hidden="1">'5W2H_radardeprojetos'!$A$7:$L$7</definedName>
    <definedName name="_xlnm.Print_Titles" localSheetId="0">'5W2H_radardeprojetos'!$7:$7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7" i="4" l="1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50" i="4"/>
  <c r="L50" i="4" s="1"/>
  <c r="K49" i="4"/>
  <c r="L49" i="4" s="1"/>
  <c r="K48" i="4"/>
  <c r="L48" i="4" s="1"/>
  <c r="K47" i="4"/>
  <c r="L47" i="4" s="1"/>
  <c r="K46" i="4"/>
  <c r="L46" i="4" s="1"/>
  <c r="K45" i="4"/>
  <c r="L45" i="4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10" i="4"/>
  <c r="L10" i="4" s="1"/>
  <c r="K11" i="4"/>
  <c r="L11" i="4" s="1"/>
  <c r="K12" i="4"/>
  <c r="L12" i="4" s="1"/>
  <c r="K13" i="4"/>
  <c r="L13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58" i="4"/>
  <c r="L58" i="4" s="1"/>
  <c r="K59" i="4"/>
  <c r="L59" i="4" s="1"/>
  <c r="K60" i="4"/>
  <c r="L60" i="4" s="1"/>
  <c r="K61" i="4"/>
  <c r="L61" i="4" s="1"/>
  <c r="K62" i="4"/>
  <c r="L62" i="4" s="1"/>
  <c r="K63" i="4"/>
  <c r="L63" i="4" s="1"/>
  <c r="K64" i="4"/>
  <c r="L64" i="4" s="1"/>
  <c r="K65" i="4"/>
  <c r="L65" i="4" s="1"/>
  <c r="K66" i="4"/>
  <c r="L66" i="4" s="1"/>
  <c r="K9" i="4"/>
  <c r="L9" i="4" s="1"/>
</calcChain>
</file>

<file path=xl/sharedStrings.xml><?xml version="1.0" encoding="utf-8"?>
<sst xmlns="http://schemas.openxmlformats.org/spreadsheetml/2006/main" count="95" uniqueCount="61">
  <si>
    <t>% CONCLUÍDO</t>
  </si>
  <si>
    <t>% PLANEJADO</t>
  </si>
  <si>
    <t>SITUAÇÃO ATUAL</t>
  </si>
  <si>
    <t>WHEN / QUANDO</t>
  </si>
  <si>
    <t>WHO / QUEM
(Responsável)</t>
  </si>
  <si>
    <t>WHERE / ONDE
(Área/Departamento/setor/linha/Máquina/outros)</t>
  </si>
  <si>
    <t>WHY / POR QUE
(Objetivo)</t>
  </si>
  <si>
    <t>HOW MUCH / QUANTO CUSTA
(Investimento)</t>
  </si>
  <si>
    <t>HOW / COMO
(metódo)</t>
  </si>
  <si>
    <t>WHAT / O QUE 
(Descrição da atividade)</t>
  </si>
  <si>
    <t>MATRIZ 5W2H</t>
  </si>
  <si>
    <t>Início</t>
  </si>
  <si>
    <t>Fim</t>
  </si>
  <si>
    <t>PASSO 1</t>
  </si>
  <si>
    <t>Análise Cenário Atual</t>
  </si>
  <si>
    <t>Definir metodologia mensuração maturidade</t>
  </si>
  <si>
    <t>Avaliar a maturidade atual em gestão de projetos</t>
  </si>
  <si>
    <t>Analisar resultado avaliação de maturidade</t>
  </si>
  <si>
    <t>Levantar necessidade organização</t>
  </si>
  <si>
    <t>Entrevistar partes interessadas</t>
  </si>
  <si>
    <t>PASSO 2</t>
  </si>
  <si>
    <t>Criar Business Case</t>
  </si>
  <si>
    <t>Criar Project Charter</t>
  </si>
  <si>
    <t>Definir padrocinador/padrinho</t>
  </si>
  <si>
    <t>Definir proposta de valor</t>
  </si>
  <si>
    <t>Criar um plano de comunicação</t>
  </si>
  <si>
    <t>Traçar um plano básico de aumento da maturidade em Gestão de Projetos</t>
  </si>
  <si>
    <t>Verificar necessidade de contratar consultoria</t>
  </si>
  <si>
    <t>Definir custos da implantação e o orçamento do PMO</t>
  </si>
  <si>
    <t>PASSO 3</t>
  </si>
  <si>
    <t>Definir etapas implantação do PMO</t>
  </si>
  <si>
    <t>Criar o plano de implantação</t>
  </si>
  <si>
    <t>Priorizar tarefas que tratão retorno imediato</t>
  </si>
  <si>
    <t>Compartilhar o plano com todos os envolvidos</t>
  </si>
  <si>
    <t>PASSO 4</t>
  </si>
  <si>
    <t>Analisar necessidades de contratação</t>
  </si>
  <si>
    <t>Definir a equipe do PMO</t>
  </si>
  <si>
    <t>Nomear a equipe do PMO</t>
  </si>
  <si>
    <t>Criar plano de carreira em gestão de projetos</t>
  </si>
  <si>
    <t>PASSO 5</t>
  </si>
  <si>
    <t>Definir tipo de PMO</t>
  </si>
  <si>
    <t>Definir funções do PMO</t>
  </si>
  <si>
    <t>Definir missão do PMO</t>
  </si>
  <si>
    <t>Mapear, definir e adequar processos do PMO</t>
  </si>
  <si>
    <t>Definir templates padrão</t>
  </si>
  <si>
    <t>Definir métricas e indicadores</t>
  </si>
  <si>
    <t>Dimensionar o tamanho da equipe de acordo com as entregas</t>
  </si>
  <si>
    <t>Definir papéis e responsabilidades</t>
  </si>
  <si>
    <t>Criar catálogo de serviços oferecidos pelo PMO</t>
  </si>
  <si>
    <t>Criar plano de treinamento</t>
  </si>
  <si>
    <t>Definir a metodologia a ser uitlizada</t>
  </si>
  <si>
    <t>Definir ferramentas de gestão</t>
  </si>
  <si>
    <t>PASSO 6</t>
  </si>
  <si>
    <t>Definir projetos piloto</t>
  </si>
  <si>
    <t>Executar projetos pilotos por pelo menos 2 meses</t>
  </si>
  <si>
    <t>PASSO 7</t>
  </si>
  <si>
    <t>Criar um roadmap de melhoria levando em consideração maturidade em gestão de projetos</t>
  </si>
  <si>
    <t>Realizar auditorias em projetos</t>
  </si>
  <si>
    <t>Compartilhar evolução da gestão de projetos na organização</t>
  </si>
  <si>
    <t>Avaliar desempenho das equipes de projetos</t>
  </si>
  <si>
    <t>Analisar a satisfação das entregas do 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</si>
</sst>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* #,##0.00_-;\-* #,##0.00_-;_-* &quot;-&quot;??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</font>
    <font>
      <b/>
      <sz val="24"/>
      <color theme="0"/>
      <name val="Calibri"/>
      <family val="2"/>
      <scheme val="minor"/>
    </font>
    <font>
      <b/>
      <sz val="14"/>
      <color theme="4" tint="-0.249977111117893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1"/>
        <bgColor indexed="64"/>
      </patternFill>
    </fill>
    <fill>
      <patternFill patternType="solid">
        <fgColor rgb="FF00A5D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2060"/>
      </bottom>
      <diagonal/>
    </border>
    <border>
      <left/>
      <right style="medium">
        <color indexed="64"/>
      </right>
      <top/>
      <bottom style="medium">
        <color rgb="FF00206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 style="medium">
        <color indexed="64"/>
      </top>
      <bottom style="medium">
        <color indexed="64"/>
      </bottom>
      <diagonal/>
    </border>
    <border>
      <left style="thin">
        <color rgb="FF002060"/>
      </left>
      <right style="thin">
        <color rgb="FF002060"/>
      </right>
      <top style="medium">
        <color indexed="64"/>
      </top>
      <bottom style="medium">
        <color indexed="64"/>
      </bottom>
      <diagonal/>
    </border>
    <border>
      <left style="thin">
        <color rgb="FF00206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50">
    <xf numFmtId="0" fontId="0" fillId="0" borderId="0" xfId="0"/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0" fillId="2" borderId="0" xfId="0" applyFont="1" applyFill="1" applyAlignment="1" applyProtection="1">
      <alignment vertical="center" wrapText="1"/>
      <protection hidden="1"/>
    </xf>
    <xf numFmtId="0" fontId="10" fillId="2" borderId="0" xfId="0" applyFont="1" applyFill="1" applyAlignment="1" applyProtection="1">
      <alignment horizontal="left" vertical="center" wrapText="1"/>
      <protection hidden="1"/>
    </xf>
    <xf numFmtId="0" fontId="7" fillId="3" borderId="2" xfId="1" applyNumberFormat="1" applyFont="1" applyFill="1" applyBorder="1" applyAlignment="1" applyProtection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 applyProtection="1">
      <alignment vertical="center" wrapText="1"/>
      <protection hidden="1"/>
    </xf>
    <xf numFmtId="0" fontId="10" fillId="2" borderId="0" xfId="0" applyFont="1" applyFill="1" applyBorder="1" applyAlignment="1" applyProtection="1">
      <alignment horizontal="left" vertical="center" wrapText="1"/>
      <protection hidden="1"/>
    </xf>
    <xf numFmtId="0" fontId="0" fillId="4" borderId="12" xfId="0" applyFill="1" applyBorder="1"/>
    <xf numFmtId="0" fontId="6" fillId="5" borderId="3" xfId="0" applyFont="1" applyFill="1" applyBorder="1" applyAlignment="1" applyProtection="1">
      <alignment horizontal="center" vertical="center" wrapText="1"/>
      <protection locked="0"/>
    </xf>
    <xf numFmtId="0" fontId="6" fillId="5" borderId="4" xfId="0" applyFont="1" applyFill="1" applyBorder="1" applyAlignment="1" applyProtection="1">
      <alignment horizontal="center" vertical="center" wrapText="1"/>
      <protection locked="0"/>
    </xf>
    <xf numFmtId="0" fontId="6" fillId="5" borderId="5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 wrapText="1"/>
      <protection locked="0"/>
    </xf>
    <xf numFmtId="0" fontId="9" fillId="5" borderId="8" xfId="0" applyFont="1" applyFill="1" applyBorder="1" applyAlignment="1" applyProtection="1">
      <alignment horizontal="center" vertical="center" wrapText="1"/>
      <protection locked="0"/>
    </xf>
    <xf numFmtId="0" fontId="9" fillId="5" borderId="9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9" fillId="5" borderId="10" xfId="0" applyFont="1" applyFill="1" applyBorder="1" applyAlignment="1" applyProtection="1">
      <alignment horizontal="center" vertical="center" wrapText="1"/>
      <protection locked="0"/>
    </xf>
    <xf numFmtId="0" fontId="6" fillId="5" borderId="13" xfId="0" applyFont="1" applyFill="1" applyBorder="1" applyAlignment="1" applyProtection="1">
      <alignment horizontal="center" vertical="center" wrapText="1"/>
      <protection locked="0"/>
    </xf>
    <xf numFmtId="0" fontId="6" fillId="5" borderId="14" xfId="0" applyFont="1" applyFill="1" applyBorder="1" applyAlignment="1" applyProtection="1">
      <alignment horizontal="center" vertical="center" wrapText="1"/>
      <protection locked="0"/>
    </xf>
    <xf numFmtId="0" fontId="6" fillId="5" borderId="14" xfId="0" applyFont="1" applyFill="1" applyBorder="1" applyAlignment="1" applyProtection="1">
      <alignment horizontal="center" vertical="center"/>
      <protection locked="0"/>
    </xf>
    <xf numFmtId="0" fontId="6" fillId="5" borderId="15" xfId="0" applyFont="1" applyFill="1" applyBorder="1" applyAlignment="1" applyProtection="1">
      <alignment horizontal="center" vertical="center" wrapText="1"/>
      <protection locked="0"/>
    </xf>
    <xf numFmtId="10" fontId="1" fillId="3" borderId="2" xfId="1" applyNumberFormat="1" applyFont="1" applyFill="1" applyBorder="1" applyAlignment="1" applyProtection="1">
      <alignment horizontal="center" vertical="center" wrapText="1"/>
    </xf>
    <xf numFmtId="10" fontId="1" fillId="3" borderId="14" xfId="1" applyNumberFormat="1" applyFont="1" applyFill="1" applyBorder="1" applyAlignment="1" applyProtection="1">
      <alignment horizontal="center" vertical="center" wrapText="1"/>
    </xf>
    <xf numFmtId="0" fontId="7" fillId="3" borderId="14" xfId="1" applyNumberFormat="1" applyFont="1" applyFill="1" applyBorder="1" applyAlignment="1" applyProtection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9" fontId="1" fillId="0" borderId="2" xfId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14" fontId="1" fillId="0" borderId="14" xfId="0" applyNumberFormat="1" applyFont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9" fontId="1" fillId="0" borderId="14" xfId="1" applyFont="1" applyBorder="1" applyAlignment="1">
      <alignment horizontal="center" vertical="center" wrapText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0" xfId="0" applyFont="1" applyFill="1" applyBorder="1" applyAlignment="1" applyProtection="1">
      <alignment horizontal="center" vertical="center" wrapText="1"/>
      <protection hidden="1"/>
    </xf>
    <xf numFmtId="0" fontId="4" fillId="4" borderId="11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5">
    <cellStyle name="Normal" xfId="0" builtinId="0"/>
    <cellStyle name="Normal 2" xfId="2" xr:uid="{8E008209-9CEF-486D-9CB7-D11ACC9D63AA}"/>
    <cellStyle name="Porcentagem" xfId="1" builtinId="5"/>
    <cellStyle name="Porcentagem 2" xfId="3" xr:uid="{89B99CE1-63E9-4F25-9386-F599ED95EA41}"/>
    <cellStyle name="Vírgula 2" xfId="4" xr:uid="{8E2CC5B6-F37E-4510-BB56-D1BDB18BBE7E}"/>
  </cellStyles>
  <dxfs count="0"/>
  <tableStyles count="0" defaultTableStyle="TableStyleMedium2" defaultPivotStyle="PivotStyleLight16"/>
  <colors>
    <mruColors>
      <color rgb="FF00A5D2"/>
      <color rgb="FF6495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1044806</xdr:colOff>
      <xdr:row>0</xdr:row>
      <xdr:rowOff>34636</xdr:rowOff>
    </xdr:from>
    <xdr:to>
      <xdr:col>12</xdr:col>
      <xdr:colOff>16684</xdr:colOff>
      <xdr:row>2</xdr:row>
      <xdr:rowOff>62345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AB0343-ED5D-1B03-43A6-1FAF2B07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50215" y="34636"/>
          <a:ext cx="1248181" cy="484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67"/>
  <sheetViews>
    <sheetView tabSelected="1" zoomScale="70" zoomScaleNormal="70" workbookViewId="0">
      <pane ySplit="8" topLeftCell="A24" activePane="bottomLeft" state="frozen"/>
      <selection pane="bottomLeft" activeCell="C48" sqref="C48"/>
    </sheetView>
  </sheetViews>
  <sheetFormatPr defaultColWidth="9.109375" defaultRowHeight="13.2" x14ac:dyDescent="0.25"/>
  <cols>
    <col min="1" max="1" width="2.33203125" style="3" customWidth="1"/>
    <col min="2" max="2" width="26" style="49" customWidth="1"/>
    <col min="3" max="3" width="68.5546875" style="5" customWidth="1"/>
    <col min="4" max="4" width="13.44140625" style="5" bestFit="1" customWidth="1"/>
    <col min="5" max="5" width="13.44140625" style="6" bestFit="1" customWidth="1"/>
    <col min="6" max="6" width="18.6640625" style="6" customWidth="1"/>
    <col min="7" max="7" width="25.109375" style="6" customWidth="1"/>
    <col min="8" max="8" width="17.6640625" style="7" customWidth="1"/>
    <col min="9" max="9" width="25" style="7" customWidth="1"/>
    <col min="10" max="10" width="18.33203125" style="6" customWidth="1"/>
    <col min="11" max="11" width="18.109375" style="8" customWidth="1"/>
    <col min="12" max="12" width="15" style="3" customWidth="1"/>
    <col min="13" max="16384" width="9.109375" style="3"/>
  </cols>
  <sheetData>
    <row r="1" spans="2:12" s="1" customFormat="1" ht="18" x14ac:dyDescent="0.25">
      <c r="B1" s="46"/>
      <c r="C1" s="9"/>
      <c r="D1" s="9"/>
      <c r="E1" s="9"/>
      <c r="F1" s="9"/>
      <c r="G1" s="10"/>
      <c r="H1" s="10"/>
      <c r="I1" s="10"/>
      <c r="J1" s="10"/>
      <c r="K1" s="10"/>
      <c r="L1" s="10"/>
    </row>
    <row r="2" spans="2:12" s="1" customFormat="1" ht="18" x14ac:dyDescent="0.25">
      <c r="B2" s="46"/>
      <c r="C2" s="9"/>
      <c r="D2" s="9"/>
      <c r="E2" s="9"/>
      <c r="F2" s="9"/>
      <c r="G2" s="10"/>
      <c r="H2" s="10"/>
      <c r="I2" s="10"/>
      <c r="J2" s="10"/>
      <c r="K2" s="10"/>
      <c r="L2" s="10"/>
    </row>
    <row r="3" spans="2:12" s="1" customFormat="1" ht="18.600000000000001" thickBot="1" x14ac:dyDescent="0.3">
      <c r="B3" s="47"/>
      <c r="C3" s="15"/>
      <c r="D3" s="15"/>
      <c r="E3" s="15"/>
      <c r="F3" s="15"/>
      <c r="G3" s="16"/>
      <c r="H3" s="16"/>
      <c r="I3" s="16"/>
      <c r="J3" s="16"/>
      <c r="K3" s="16"/>
      <c r="L3" s="16"/>
    </row>
    <row r="4" spans="2:12" s="2" customFormat="1" ht="13.8" x14ac:dyDescent="0.25">
      <c r="B4" s="21" t="s">
        <v>10</v>
      </c>
      <c r="C4" s="22"/>
      <c r="D4" s="22"/>
      <c r="E4" s="22"/>
      <c r="F4" s="22"/>
      <c r="G4" s="22"/>
      <c r="H4" s="22"/>
      <c r="I4" s="22"/>
      <c r="J4" s="22"/>
      <c r="K4" s="22"/>
      <c r="L4" s="23"/>
    </row>
    <row r="5" spans="2:12" s="2" customFormat="1" ht="14.4" thickBot="1" x14ac:dyDescent="0.3">
      <c r="B5" s="24"/>
      <c r="C5" s="25"/>
      <c r="D5" s="25"/>
      <c r="E5" s="25"/>
      <c r="F5" s="25"/>
      <c r="G5" s="25"/>
      <c r="H5" s="25"/>
      <c r="I5" s="25"/>
      <c r="J5" s="25"/>
      <c r="K5" s="25"/>
      <c r="L5" s="26"/>
    </row>
    <row r="6" spans="2:12" ht="13.8" thickBot="1" x14ac:dyDescent="0.3">
      <c r="B6" s="48"/>
      <c r="C6" s="12"/>
      <c r="D6" s="12"/>
      <c r="E6" s="13"/>
      <c r="F6" s="13"/>
      <c r="G6" s="13"/>
      <c r="H6" s="14"/>
      <c r="I6" s="14"/>
      <c r="J6" s="13"/>
      <c r="K6" s="13"/>
      <c r="L6" s="17"/>
    </row>
    <row r="7" spans="2:12" s="4" customFormat="1" ht="26.4" customHeight="1" x14ac:dyDescent="0.25">
      <c r="B7" s="18" t="s">
        <v>9</v>
      </c>
      <c r="C7" s="19" t="s">
        <v>4</v>
      </c>
      <c r="D7" s="19" t="s">
        <v>3</v>
      </c>
      <c r="E7" s="19"/>
      <c r="F7" s="19" t="s">
        <v>8</v>
      </c>
      <c r="G7" s="19" t="s">
        <v>5</v>
      </c>
      <c r="H7" s="19" t="s">
        <v>6</v>
      </c>
      <c r="I7" s="19" t="s">
        <v>7</v>
      </c>
      <c r="J7" s="19" t="s">
        <v>0</v>
      </c>
      <c r="K7" s="19" t="s">
        <v>1</v>
      </c>
      <c r="L7" s="20" t="s">
        <v>2</v>
      </c>
    </row>
    <row r="8" spans="2:12" s="4" customFormat="1" ht="26.4" customHeight="1" x14ac:dyDescent="0.25">
      <c r="B8" s="27"/>
      <c r="C8" s="28"/>
      <c r="D8" s="29" t="s">
        <v>11</v>
      </c>
      <c r="E8" s="29" t="s">
        <v>12</v>
      </c>
      <c r="F8" s="28"/>
      <c r="G8" s="28"/>
      <c r="H8" s="28"/>
      <c r="I8" s="28"/>
      <c r="J8" s="28"/>
      <c r="K8" s="28"/>
      <c r="L8" s="30"/>
    </row>
    <row r="9" spans="2:12" ht="18" x14ac:dyDescent="0.25">
      <c r="B9" s="39" t="s">
        <v>13</v>
      </c>
      <c r="C9" s="37" t="s">
        <v>14</v>
      </c>
      <c r="D9" s="38">
        <v>44682</v>
      </c>
      <c r="E9" s="38">
        <v>44696</v>
      </c>
      <c r="F9" s="39"/>
      <c r="G9" s="39"/>
      <c r="H9" s="39"/>
      <c r="I9" s="39"/>
      <c r="J9" s="40">
        <v>0.2</v>
      </c>
      <c r="K9" s="31">
        <f ca="1">IF(E9&gt;0,IF(TODAY()&gt;=E9,1,IF(TODAY()&lt;D9,0,(TODAY()-D9)/(E9-D9))),"")</f>
        <v>7.1428571428571425E-2</v>
      </c>
      <c r="L9" s="11">
        <f ca="1">IF(ISNUMBER(K9),IF(J9&gt;=K9*0.9999,100,IF(J9&gt;K9*0.6,33,0)),"")</f>
        <v>100</v>
      </c>
    </row>
    <row r="10" spans="2:12" ht="18" x14ac:dyDescent="0.25">
      <c r="B10" s="39" t="s">
        <v>13</v>
      </c>
      <c r="C10" s="37" t="s">
        <v>15</v>
      </c>
      <c r="D10" s="38">
        <v>44696</v>
      </c>
      <c r="E10" s="38">
        <v>44701</v>
      </c>
      <c r="F10" s="39"/>
      <c r="G10" s="39"/>
      <c r="H10" s="39"/>
      <c r="I10" s="39"/>
      <c r="J10" s="40">
        <v>0.1</v>
      </c>
      <c r="K10" s="31">
        <f t="shared" ref="K10:K66" ca="1" si="0">IF(E10&gt;0,IF(TODAY()&gt;=E10,1,IF(TODAY()&lt;D10,0,(TODAY()-D10)/(E10-D10))),"")</f>
        <v>0</v>
      </c>
      <c r="L10" s="11">
        <f t="shared" ref="L10:L66" ca="1" si="1">IF(ISNUMBER(K10),IF(J10&gt;=K10*0.9999,100,IF(J10&gt;K10*0.6,33,0)),"")</f>
        <v>100</v>
      </c>
    </row>
    <row r="11" spans="2:12" ht="18" x14ac:dyDescent="0.25">
      <c r="B11" s="39" t="s">
        <v>13</v>
      </c>
      <c r="C11" s="37" t="s">
        <v>16</v>
      </c>
      <c r="D11" s="38">
        <v>44701</v>
      </c>
      <c r="E11" s="38">
        <v>44711</v>
      </c>
      <c r="F11" s="39"/>
      <c r="G11" s="39"/>
      <c r="H11" s="39"/>
      <c r="I11" s="39"/>
      <c r="J11" s="40">
        <v>0.15</v>
      </c>
      <c r="K11" s="31">
        <f t="shared" ca="1" si="0"/>
        <v>0</v>
      </c>
      <c r="L11" s="11">
        <f t="shared" ca="1" si="1"/>
        <v>100</v>
      </c>
    </row>
    <row r="12" spans="2:12" ht="18" x14ac:dyDescent="0.25">
      <c r="B12" s="39" t="s">
        <v>13</v>
      </c>
      <c r="C12" s="37" t="s">
        <v>17</v>
      </c>
      <c r="D12" s="38">
        <v>44711</v>
      </c>
      <c r="E12" s="38">
        <v>44714</v>
      </c>
      <c r="F12" s="39"/>
      <c r="G12" s="39"/>
      <c r="H12" s="39"/>
      <c r="I12" s="39"/>
      <c r="J12" s="40">
        <v>0</v>
      </c>
      <c r="K12" s="31">
        <f t="shared" ca="1" si="0"/>
        <v>0</v>
      </c>
      <c r="L12" s="11">
        <f ca="1">IF(ISNUMBER(K12),IF(J12&gt;=K12*0.9999,100,IF(J12&gt;K12*0.6,33,0)),"")</f>
        <v>100</v>
      </c>
    </row>
    <row r="13" spans="2:12" ht="18" x14ac:dyDescent="0.25">
      <c r="B13" s="39" t="s">
        <v>13</v>
      </c>
      <c r="C13" s="37" t="s">
        <v>18</v>
      </c>
      <c r="D13" s="38">
        <v>44701</v>
      </c>
      <c r="E13" s="38">
        <v>44714</v>
      </c>
      <c r="F13" s="39"/>
      <c r="G13" s="39"/>
      <c r="H13" s="39"/>
      <c r="I13" s="39"/>
      <c r="J13" s="40">
        <v>0</v>
      </c>
      <c r="K13" s="31">
        <f t="shared" ca="1" si="0"/>
        <v>0</v>
      </c>
      <c r="L13" s="11">
        <f t="shared" ca="1" si="1"/>
        <v>100</v>
      </c>
    </row>
    <row r="14" spans="2:12" ht="18" x14ac:dyDescent="0.25">
      <c r="B14" s="39" t="s">
        <v>13</v>
      </c>
      <c r="C14" s="37" t="s">
        <v>19</v>
      </c>
      <c r="D14" s="38">
        <v>44701</v>
      </c>
      <c r="E14" s="38">
        <v>44714</v>
      </c>
      <c r="F14" s="39"/>
      <c r="G14" s="39"/>
      <c r="H14" s="39"/>
      <c r="I14" s="39"/>
      <c r="J14" s="40">
        <v>0</v>
      </c>
      <c r="K14" s="31">
        <f t="shared" ca="1" si="0"/>
        <v>0</v>
      </c>
      <c r="L14" s="11">
        <f ca="1">IF(ISNUMBER(K14),IF(J14&gt;=K14*0.9999,100,IF(J14&gt;K14*0.6,33,0)),"")</f>
        <v>100</v>
      </c>
    </row>
    <row r="15" spans="2:12" ht="18" x14ac:dyDescent="0.25">
      <c r="B15" s="39" t="s">
        <v>20</v>
      </c>
      <c r="C15" s="37" t="s">
        <v>21</v>
      </c>
      <c r="D15" s="38">
        <v>44684</v>
      </c>
      <c r="E15" s="38">
        <v>44725</v>
      </c>
      <c r="F15" s="39"/>
      <c r="G15" s="39"/>
      <c r="H15" s="39"/>
      <c r="I15" s="39"/>
      <c r="J15" s="40">
        <v>0</v>
      </c>
      <c r="K15" s="31">
        <f t="shared" ca="1" si="0"/>
        <v>0</v>
      </c>
      <c r="L15" s="11">
        <f t="shared" ca="1" si="1"/>
        <v>100</v>
      </c>
    </row>
    <row r="16" spans="2:12" ht="18" x14ac:dyDescent="0.25">
      <c r="B16" s="39" t="s">
        <v>20</v>
      </c>
      <c r="C16" s="37" t="s">
        <v>22</v>
      </c>
      <c r="D16" s="38">
        <v>44684</v>
      </c>
      <c r="E16" s="38">
        <v>44725</v>
      </c>
      <c r="F16" s="39"/>
      <c r="G16" s="39"/>
      <c r="H16" s="39"/>
      <c r="I16" s="39"/>
      <c r="J16" s="40">
        <v>0</v>
      </c>
      <c r="K16" s="31">
        <f t="shared" ca="1" si="0"/>
        <v>0</v>
      </c>
      <c r="L16" s="11">
        <f t="shared" ca="1" si="1"/>
        <v>100</v>
      </c>
    </row>
    <row r="17" spans="2:12" ht="18" x14ac:dyDescent="0.25">
      <c r="B17" s="39" t="s">
        <v>20</v>
      </c>
      <c r="C17" s="37" t="s">
        <v>23</v>
      </c>
      <c r="D17" s="38">
        <v>44684</v>
      </c>
      <c r="E17" s="38">
        <v>44725</v>
      </c>
      <c r="F17" s="39"/>
      <c r="G17" s="39"/>
      <c r="H17" s="39"/>
      <c r="I17" s="39"/>
      <c r="J17" s="40">
        <v>0</v>
      </c>
      <c r="K17" s="31">
        <f t="shared" ca="1" si="0"/>
        <v>0</v>
      </c>
      <c r="L17" s="11">
        <f t="shared" ca="1" si="1"/>
        <v>100</v>
      </c>
    </row>
    <row r="18" spans="2:12" ht="18" x14ac:dyDescent="0.25">
      <c r="B18" s="39" t="s">
        <v>20</v>
      </c>
      <c r="C18" s="37" t="s">
        <v>24</v>
      </c>
      <c r="D18" s="38">
        <v>44684</v>
      </c>
      <c r="E18" s="38">
        <v>44725</v>
      </c>
      <c r="F18" s="39"/>
      <c r="G18" s="39"/>
      <c r="H18" s="39"/>
      <c r="I18" s="39"/>
      <c r="J18" s="40">
        <v>0</v>
      </c>
      <c r="K18" s="31">
        <f t="shared" ca="1" si="0"/>
        <v>0</v>
      </c>
      <c r="L18" s="11">
        <f t="shared" ca="1" si="1"/>
        <v>100</v>
      </c>
    </row>
    <row r="19" spans="2:12" ht="18" x14ac:dyDescent="0.25">
      <c r="B19" s="39" t="s">
        <v>20</v>
      </c>
      <c r="C19" s="37" t="s">
        <v>25</v>
      </c>
      <c r="D19" s="38">
        <v>44684</v>
      </c>
      <c r="E19" s="38">
        <v>44725</v>
      </c>
      <c r="F19" s="39"/>
      <c r="G19" s="39"/>
      <c r="H19" s="39"/>
      <c r="I19" s="39"/>
      <c r="J19" s="40">
        <v>0</v>
      </c>
      <c r="K19" s="31">
        <f t="shared" ca="1" si="0"/>
        <v>0</v>
      </c>
      <c r="L19" s="11">
        <f t="shared" ca="1" si="1"/>
        <v>100</v>
      </c>
    </row>
    <row r="20" spans="2:12" ht="18" x14ac:dyDescent="0.25">
      <c r="B20" s="39" t="s">
        <v>20</v>
      </c>
      <c r="C20" s="37" t="s">
        <v>26</v>
      </c>
      <c r="D20" s="38">
        <v>44684</v>
      </c>
      <c r="E20" s="38">
        <v>44725</v>
      </c>
      <c r="F20" s="39"/>
      <c r="G20" s="39"/>
      <c r="H20" s="39"/>
      <c r="I20" s="39"/>
      <c r="J20" s="40">
        <v>0</v>
      </c>
      <c r="K20" s="31">
        <f t="shared" ca="1" si="0"/>
        <v>0</v>
      </c>
      <c r="L20" s="11">
        <f t="shared" ca="1" si="1"/>
        <v>100</v>
      </c>
    </row>
    <row r="21" spans="2:12" ht="18" x14ac:dyDescent="0.25">
      <c r="B21" s="39" t="s">
        <v>20</v>
      </c>
      <c r="C21" s="37" t="s">
        <v>27</v>
      </c>
      <c r="D21" s="38">
        <v>44684</v>
      </c>
      <c r="E21" s="38">
        <v>44725</v>
      </c>
      <c r="F21" s="39"/>
      <c r="G21" s="39"/>
      <c r="H21" s="39"/>
      <c r="I21" s="39"/>
      <c r="J21" s="40">
        <v>0</v>
      </c>
      <c r="K21" s="31">
        <f t="shared" ca="1" si="0"/>
        <v>0</v>
      </c>
      <c r="L21" s="11">
        <f t="shared" ca="1" si="1"/>
        <v>100</v>
      </c>
    </row>
    <row r="22" spans="2:12" ht="18" x14ac:dyDescent="0.25">
      <c r="B22" s="39" t="s">
        <v>20</v>
      </c>
      <c r="C22" s="37" t="s">
        <v>28</v>
      </c>
      <c r="D22" s="38">
        <v>44684</v>
      </c>
      <c r="E22" s="38">
        <v>44725</v>
      </c>
      <c r="F22" s="39"/>
      <c r="G22" s="39"/>
      <c r="H22" s="39"/>
      <c r="I22" s="39"/>
      <c r="J22" s="40">
        <v>0</v>
      </c>
      <c r="K22" s="31">
        <f t="shared" ca="1" si="0"/>
        <v>0</v>
      </c>
      <c r="L22" s="11">
        <f t="shared" ca="1" si="1"/>
        <v>100</v>
      </c>
    </row>
    <row r="23" spans="2:12" ht="18" x14ac:dyDescent="0.25">
      <c r="B23" s="39" t="s">
        <v>29</v>
      </c>
      <c r="C23" s="37" t="s">
        <v>30</v>
      </c>
      <c r="D23" s="38">
        <v>44726</v>
      </c>
      <c r="E23" s="38">
        <v>44742</v>
      </c>
      <c r="F23" s="39"/>
      <c r="G23" s="39"/>
      <c r="H23" s="39"/>
      <c r="I23" s="39"/>
      <c r="J23" s="40">
        <v>0</v>
      </c>
      <c r="K23" s="31">
        <f t="shared" ca="1" si="0"/>
        <v>0</v>
      </c>
      <c r="L23" s="11">
        <f t="shared" ca="1" si="1"/>
        <v>100</v>
      </c>
    </row>
    <row r="24" spans="2:12" ht="18" x14ac:dyDescent="0.25">
      <c r="B24" s="39" t="s">
        <v>29</v>
      </c>
      <c r="C24" s="37" t="s">
        <v>31</v>
      </c>
      <c r="D24" s="38">
        <v>44726</v>
      </c>
      <c r="E24" s="38">
        <v>44742</v>
      </c>
      <c r="F24" s="39"/>
      <c r="G24" s="39"/>
      <c r="H24" s="39"/>
      <c r="I24" s="39"/>
      <c r="J24" s="40">
        <v>0</v>
      </c>
      <c r="K24" s="31">
        <f t="shared" ca="1" si="0"/>
        <v>0</v>
      </c>
      <c r="L24" s="11">
        <f t="shared" ca="1" si="1"/>
        <v>100</v>
      </c>
    </row>
    <row r="25" spans="2:12" ht="18" x14ac:dyDescent="0.25">
      <c r="B25" s="39" t="s">
        <v>29</v>
      </c>
      <c r="C25" s="37" t="s">
        <v>32</v>
      </c>
      <c r="D25" s="38">
        <v>44742</v>
      </c>
      <c r="E25" s="38">
        <v>44742</v>
      </c>
      <c r="F25" s="39"/>
      <c r="G25" s="39"/>
      <c r="H25" s="39"/>
      <c r="I25" s="39"/>
      <c r="J25" s="40">
        <v>0</v>
      </c>
      <c r="K25" s="31">
        <f t="shared" ca="1" si="0"/>
        <v>0</v>
      </c>
      <c r="L25" s="11">
        <f t="shared" ca="1" si="1"/>
        <v>100</v>
      </c>
    </row>
    <row r="26" spans="2:12" ht="18" x14ac:dyDescent="0.25">
      <c r="B26" s="39" t="s">
        <v>29</v>
      </c>
      <c r="C26" s="37" t="s">
        <v>33</v>
      </c>
      <c r="D26" s="38">
        <v>44742</v>
      </c>
      <c r="E26" s="38">
        <v>44747</v>
      </c>
      <c r="F26" s="39"/>
      <c r="G26" s="39"/>
      <c r="H26" s="39"/>
      <c r="I26" s="39"/>
      <c r="J26" s="40">
        <v>0</v>
      </c>
      <c r="K26" s="31">
        <f t="shared" ca="1" si="0"/>
        <v>0</v>
      </c>
      <c r="L26" s="11">
        <f t="shared" ca="1" si="1"/>
        <v>100</v>
      </c>
    </row>
    <row r="27" spans="2:12" ht="18" x14ac:dyDescent="0.25">
      <c r="B27" s="39" t="s">
        <v>34</v>
      </c>
      <c r="C27" s="37" t="s">
        <v>35</v>
      </c>
      <c r="D27" s="38">
        <v>44743</v>
      </c>
      <c r="E27" s="38">
        <v>44752</v>
      </c>
      <c r="F27" s="39"/>
      <c r="G27" s="39"/>
      <c r="H27" s="39"/>
      <c r="I27" s="39"/>
      <c r="J27" s="40">
        <v>0</v>
      </c>
      <c r="K27" s="31">
        <f t="shared" ref="K27:K37" ca="1" si="2">IF(E27&gt;0,IF(TODAY()&gt;=E27,1,IF(TODAY()&lt;D27,0,(TODAY()-D27)/(E27-D27))),"")</f>
        <v>0</v>
      </c>
      <c r="L27" s="11">
        <f t="shared" ref="L27:L37" ca="1" si="3">IF(ISNUMBER(K27),IF(J27&gt;=K27*0.9999,100,IF(J27&gt;K27*0.6,33,0)),"")</f>
        <v>100</v>
      </c>
    </row>
    <row r="28" spans="2:12" ht="18" x14ac:dyDescent="0.25">
      <c r="B28" s="39" t="s">
        <v>34</v>
      </c>
      <c r="C28" s="37" t="s">
        <v>36</v>
      </c>
      <c r="D28" s="38">
        <v>44743</v>
      </c>
      <c r="E28" s="38">
        <v>44752</v>
      </c>
      <c r="F28" s="39"/>
      <c r="G28" s="39"/>
      <c r="H28" s="39"/>
      <c r="I28" s="39"/>
      <c r="J28" s="40">
        <v>0</v>
      </c>
      <c r="K28" s="31">
        <f t="shared" ca="1" si="2"/>
        <v>0</v>
      </c>
      <c r="L28" s="11">
        <f t="shared" ca="1" si="3"/>
        <v>100</v>
      </c>
    </row>
    <row r="29" spans="2:12" ht="18" x14ac:dyDescent="0.25">
      <c r="B29" s="39" t="s">
        <v>34</v>
      </c>
      <c r="C29" s="37" t="s">
        <v>37</v>
      </c>
      <c r="D29" s="38">
        <v>44743</v>
      </c>
      <c r="E29" s="38">
        <v>44752</v>
      </c>
      <c r="F29" s="39"/>
      <c r="G29" s="39"/>
      <c r="H29" s="39"/>
      <c r="I29" s="39"/>
      <c r="J29" s="40">
        <v>0</v>
      </c>
      <c r="K29" s="31">
        <f t="shared" ca="1" si="2"/>
        <v>0</v>
      </c>
      <c r="L29" s="11">
        <f t="shared" ca="1" si="3"/>
        <v>100</v>
      </c>
    </row>
    <row r="30" spans="2:12" ht="18" x14ac:dyDescent="0.25">
      <c r="B30" s="39" t="s">
        <v>34</v>
      </c>
      <c r="C30" s="37" t="s">
        <v>38</v>
      </c>
      <c r="D30" s="38">
        <v>44743</v>
      </c>
      <c r="E30" s="38">
        <v>44752</v>
      </c>
      <c r="F30" s="39"/>
      <c r="G30" s="39"/>
      <c r="H30" s="39"/>
      <c r="I30" s="39"/>
      <c r="J30" s="40">
        <v>0</v>
      </c>
      <c r="K30" s="31">
        <f t="shared" ca="1" si="2"/>
        <v>0</v>
      </c>
      <c r="L30" s="11">
        <f t="shared" ca="1" si="3"/>
        <v>100</v>
      </c>
    </row>
    <row r="31" spans="2:12" ht="18" x14ac:dyDescent="0.25">
      <c r="B31" s="39" t="s">
        <v>39</v>
      </c>
      <c r="C31" s="37" t="s">
        <v>40</v>
      </c>
      <c r="D31" s="38">
        <v>44753</v>
      </c>
      <c r="E31" s="38">
        <v>44762</v>
      </c>
      <c r="F31" s="39"/>
      <c r="G31" s="39"/>
      <c r="H31" s="39"/>
      <c r="I31" s="39"/>
      <c r="J31" s="40">
        <v>0</v>
      </c>
      <c r="K31" s="31">
        <f t="shared" ca="1" si="2"/>
        <v>0</v>
      </c>
      <c r="L31" s="11">
        <f t="shared" ca="1" si="3"/>
        <v>100</v>
      </c>
    </row>
    <row r="32" spans="2:12" ht="18" x14ac:dyDescent="0.25">
      <c r="B32" s="39" t="s">
        <v>39</v>
      </c>
      <c r="C32" s="37" t="s">
        <v>41</v>
      </c>
      <c r="D32" s="38">
        <v>44753</v>
      </c>
      <c r="E32" s="38">
        <v>44762</v>
      </c>
      <c r="F32" s="39"/>
      <c r="G32" s="39"/>
      <c r="H32" s="39"/>
      <c r="I32" s="39"/>
      <c r="J32" s="40">
        <v>0</v>
      </c>
      <c r="K32" s="31">
        <f t="shared" ca="1" si="2"/>
        <v>0</v>
      </c>
      <c r="L32" s="11">
        <f t="shared" ca="1" si="3"/>
        <v>100</v>
      </c>
    </row>
    <row r="33" spans="2:12" ht="18" x14ac:dyDescent="0.25">
      <c r="B33" s="39" t="s">
        <v>39</v>
      </c>
      <c r="C33" s="37" t="s">
        <v>42</v>
      </c>
      <c r="D33" s="38">
        <v>44753</v>
      </c>
      <c r="E33" s="38">
        <v>44762</v>
      </c>
      <c r="F33" s="39"/>
      <c r="G33" s="39"/>
      <c r="H33" s="39"/>
      <c r="I33" s="39"/>
      <c r="J33" s="40">
        <v>0</v>
      </c>
      <c r="K33" s="31">
        <f t="shared" ca="1" si="2"/>
        <v>0</v>
      </c>
      <c r="L33" s="11">
        <f t="shared" ca="1" si="3"/>
        <v>100</v>
      </c>
    </row>
    <row r="34" spans="2:12" ht="18" x14ac:dyDescent="0.25">
      <c r="B34" s="39" t="s">
        <v>39</v>
      </c>
      <c r="C34" s="37" t="s">
        <v>43</v>
      </c>
      <c r="D34" s="38">
        <v>44753</v>
      </c>
      <c r="E34" s="38">
        <v>44762</v>
      </c>
      <c r="F34" s="39"/>
      <c r="G34" s="39"/>
      <c r="H34" s="39"/>
      <c r="I34" s="39"/>
      <c r="J34" s="40">
        <v>0</v>
      </c>
      <c r="K34" s="31">
        <f t="shared" ca="1" si="2"/>
        <v>0</v>
      </c>
      <c r="L34" s="11">
        <f t="shared" ca="1" si="3"/>
        <v>100</v>
      </c>
    </row>
    <row r="35" spans="2:12" ht="18" x14ac:dyDescent="0.25">
      <c r="B35" s="39" t="s">
        <v>39</v>
      </c>
      <c r="C35" s="37" t="s">
        <v>44</v>
      </c>
      <c r="D35" s="38">
        <v>44753</v>
      </c>
      <c r="E35" s="38">
        <v>44762</v>
      </c>
      <c r="F35" s="39"/>
      <c r="G35" s="39"/>
      <c r="H35" s="39"/>
      <c r="I35" s="39"/>
      <c r="J35" s="40">
        <v>0</v>
      </c>
      <c r="K35" s="31">
        <f t="shared" ca="1" si="2"/>
        <v>0</v>
      </c>
      <c r="L35" s="11">
        <f t="shared" ca="1" si="3"/>
        <v>100</v>
      </c>
    </row>
    <row r="36" spans="2:12" ht="18" x14ac:dyDescent="0.25">
      <c r="B36" s="39" t="s">
        <v>39</v>
      </c>
      <c r="C36" s="37" t="s">
        <v>45</v>
      </c>
      <c r="D36" s="38">
        <v>44753</v>
      </c>
      <c r="E36" s="38">
        <v>44762</v>
      </c>
      <c r="F36" s="39"/>
      <c r="G36" s="39"/>
      <c r="H36" s="39"/>
      <c r="I36" s="39"/>
      <c r="J36" s="40">
        <v>0</v>
      </c>
      <c r="K36" s="31">
        <f t="shared" ca="1" si="2"/>
        <v>0</v>
      </c>
      <c r="L36" s="11">
        <f t="shared" ca="1" si="3"/>
        <v>100</v>
      </c>
    </row>
    <row r="37" spans="2:12" ht="18" x14ac:dyDescent="0.25">
      <c r="B37" s="39" t="s">
        <v>39</v>
      </c>
      <c r="C37" s="37" t="s">
        <v>46</v>
      </c>
      <c r="D37" s="38">
        <v>44753</v>
      </c>
      <c r="E37" s="38">
        <v>44762</v>
      </c>
      <c r="F37" s="39"/>
      <c r="G37" s="39"/>
      <c r="H37" s="39"/>
      <c r="I37" s="39"/>
      <c r="J37" s="40">
        <v>0</v>
      </c>
      <c r="K37" s="31">
        <f t="shared" ca="1" si="2"/>
        <v>0</v>
      </c>
      <c r="L37" s="11">
        <f t="shared" ca="1" si="3"/>
        <v>100</v>
      </c>
    </row>
    <row r="38" spans="2:12" ht="18" x14ac:dyDescent="0.25">
      <c r="B38" s="39" t="s">
        <v>39</v>
      </c>
      <c r="C38" s="37" t="s">
        <v>47</v>
      </c>
      <c r="D38" s="38">
        <v>44753</v>
      </c>
      <c r="E38" s="38">
        <v>44762</v>
      </c>
      <c r="F38" s="39"/>
      <c r="G38" s="39"/>
      <c r="H38" s="39"/>
      <c r="I38" s="39"/>
      <c r="J38" s="40">
        <v>0</v>
      </c>
      <c r="K38" s="31">
        <f t="shared" ref="K38:K50" ca="1" si="4">IF(E38&gt;0,IF(TODAY()&gt;=E38,1,IF(TODAY()&lt;D38,0,(TODAY()-D38)/(E38-D38))),"")</f>
        <v>0</v>
      </c>
      <c r="L38" s="11">
        <f t="shared" ref="L38:L50" ca="1" si="5">IF(ISNUMBER(K38),IF(J38&gt;=K38*0.9999,100,IF(J38&gt;K38*0.6,33,0)),"")</f>
        <v>100</v>
      </c>
    </row>
    <row r="39" spans="2:12" ht="18" x14ac:dyDescent="0.25">
      <c r="B39" s="39" t="s">
        <v>39</v>
      </c>
      <c r="C39" s="37" t="s">
        <v>48</v>
      </c>
      <c r="D39" s="38">
        <v>44753</v>
      </c>
      <c r="E39" s="38">
        <v>44762</v>
      </c>
      <c r="F39" s="39"/>
      <c r="G39" s="39"/>
      <c r="H39" s="39"/>
      <c r="I39" s="39"/>
      <c r="J39" s="40">
        <v>0</v>
      </c>
      <c r="K39" s="31">
        <f t="shared" ca="1" si="4"/>
        <v>0</v>
      </c>
      <c r="L39" s="11">
        <f t="shared" ca="1" si="5"/>
        <v>100</v>
      </c>
    </row>
    <row r="40" spans="2:12" ht="18" x14ac:dyDescent="0.25">
      <c r="B40" s="39" t="s">
        <v>39</v>
      </c>
      <c r="C40" s="37" t="s">
        <v>49</v>
      </c>
      <c r="D40" s="38">
        <v>44753</v>
      </c>
      <c r="E40" s="38">
        <v>44762</v>
      </c>
      <c r="F40" s="39"/>
      <c r="G40" s="39"/>
      <c r="H40" s="39"/>
      <c r="I40" s="39"/>
      <c r="J40" s="40">
        <v>0</v>
      </c>
      <c r="K40" s="31">
        <f t="shared" ca="1" si="4"/>
        <v>0</v>
      </c>
      <c r="L40" s="11">
        <f t="shared" ca="1" si="5"/>
        <v>100</v>
      </c>
    </row>
    <row r="41" spans="2:12" ht="18" x14ac:dyDescent="0.25">
      <c r="B41" s="39" t="s">
        <v>39</v>
      </c>
      <c r="C41" s="37" t="s">
        <v>50</v>
      </c>
      <c r="D41" s="38">
        <v>44753</v>
      </c>
      <c r="E41" s="38">
        <v>44762</v>
      </c>
      <c r="F41" s="39"/>
      <c r="G41" s="39"/>
      <c r="H41" s="39"/>
      <c r="I41" s="39"/>
      <c r="J41" s="40">
        <v>0</v>
      </c>
      <c r="K41" s="31">
        <f t="shared" ca="1" si="4"/>
        <v>0</v>
      </c>
      <c r="L41" s="11">
        <f t="shared" ca="1" si="5"/>
        <v>100</v>
      </c>
    </row>
    <row r="42" spans="2:12" ht="18" x14ac:dyDescent="0.25">
      <c r="B42" s="39" t="s">
        <v>39</v>
      </c>
      <c r="C42" s="37" t="s">
        <v>51</v>
      </c>
      <c r="D42" s="38">
        <v>44753</v>
      </c>
      <c r="E42" s="38">
        <v>44762</v>
      </c>
      <c r="F42" s="39"/>
      <c r="G42" s="39"/>
      <c r="H42" s="39"/>
      <c r="I42" s="39"/>
      <c r="J42" s="40">
        <v>0</v>
      </c>
      <c r="K42" s="31">
        <f t="shared" ca="1" si="4"/>
        <v>0</v>
      </c>
      <c r="L42" s="11">
        <f t="shared" ca="1" si="5"/>
        <v>100</v>
      </c>
    </row>
    <row r="43" spans="2:12" ht="18" x14ac:dyDescent="0.25">
      <c r="B43" s="39" t="s">
        <v>52</v>
      </c>
      <c r="C43" s="37" t="s">
        <v>53</v>
      </c>
      <c r="D43" s="38">
        <v>44762</v>
      </c>
      <c r="E43" s="38">
        <v>44772</v>
      </c>
      <c r="F43" s="39"/>
      <c r="G43" s="39"/>
      <c r="H43" s="39"/>
      <c r="I43" s="39"/>
      <c r="J43" s="40">
        <v>0</v>
      </c>
      <c r="K43" s="31">
        <f t="shared" ca="1" si="4"/>
        <v>0</v>
      </c>
      <c r="L43" s="11">
        <f t="shared" ca="1" si="5"/>
        <v>100</v>
      </c>
    </row>
    <row r="44" spans="2:12" ht="18" x14ac:dyDescent="0.25">
      <c r="B44" s="39" t="s">
        <v>52</v>
      </c>
      <c r="C44" s="37" t="s">
        <v>54</v>
      </c>
      <c r="D44" s="38">
        <v>44774</v>
      </c>
      <c r="E44" s="38">
        <v>44834</v>
      </c>
      <c r="F44" s="39"/>
      <c r="G44" s="39"/>
      <c r="H44" s="39"/>
      <c r="I44" s="39"/>
      <c r="J44" s="40">
        <v>0</v>
      </c>
      <c r="K44" s="31">
        <f t="shared" ca="1" si="4"/>
        <v>0</v>
      </c>
      <c r="L44" s="11">
        <f t="shared" ca="1" si="5"/>
        <v>100</v>
      </c>
    </row>
    <row r="45" spans="2:12" ht="28.8" x14ac:dyDescent="0.25">
      <c r="B45" s="39" t="s">
        <v>55</v>
      </c>
      <c r="C45" s="37" t="s">
        <v>56</v>
      </c>
      <c r="D45" s="38">
        <v>44774</v>
      </c>
      <c r="E45" s="38">
        <v>44803</v>
      </c>
      <c r="F45" s="39"/>
      <c r="G45" s="39"/>
      <c r="H45" s="39"/>
      <c r="I45" s="39"/>
      <c r="J45" s="40">
        <v>0</v>
      </c>
      <c r="K45" s="31">
        <f t="shared" ca="1" si="4"/>
        <v>0</v>
      </c>
      <c r="L45" s="11">
        <f t="shared" ca="1" si="5"/>
        <v>100</v>
      </c>
    </row>
    <row r="46" spans="2:12" ht="18" x14ac:dyDescent="0.25">
      <c r="B46" s="39" t="s">
        <v>55</v>
      </c>
      <c r="C46" s="37" t="s">
        <v>57</v>
      </c>
      <c r="D46" s="38">
        <v>44805</v>
      </c>
      <c r="E46" s="38">
        <v>44834</v>
      </c>
      <c r="F46" s="39"/>
      <c r="G46" s="39"/>
      <c r="H46" s="39"/>
      <c r="I46" s="39"/>
      <c r="J46" s="40">
        <v>0</v>
      </c>
      <c r="K46" s="31">
        <f t="shared" ca="1" si="4"/>
        <v>0</v>
      </c>
      <c r="L46" s="11">
        <f t="shared" ca="1" si="5"/>
        <v>100</v>
      </c>
    </row>
    <row r="47" spans="2:12" ht="18" x14ac:dyDescent="0.25">
      <c r="B47" s="39" t="s">
        <v>55</v>
      </c>
      <c r="C47" s="37" t="s">
        <v>58</v>
      </c>
      <c r="D47" s="38">
        <v>44835</v>
      </c>
      <c r="E47" s="38">
        <v>44854</v>
      </c>
      <c r="F47" s="39"/>
      <c r="G47" s="39"/>
      <c r="H47" s="39"/>
      <c r="I47" s="39"/>
      <c r="J47" s="40">
        <v>0</v>
      </c>
      <c r="K47" s="31">
        <f t="shared" ca="1" si="4"/>
        <v>0</v>
      </c>
      <c r="L47" s="11">
        <f t="shared" ca="1" si="5"/>
        <v>100</v>
      </c>
    </row>
    <row r="48" spans="2:12" ht="18" x14ac:dyDescent="0.25">
      <c r="B48" s="39" t="s">
        <v>55</v>
      </c>
      <c r="C48" s="37" t="s">
        <v>59</v>
      </c>
      <c r="D48" s="38">
        <v>44835</v>
      </c>
      <c r="E48" s="38">
        <v>44854</v>
      </c>
      <c r="F48" s="39"/>
      <c r="G48" s="39"/>
      <c r="H48" s="39"/>
      <c r="I48" s="39"/>
      <c r="J48" s="40">
        <v>0</v>
      </c>
      <c r="K48" s="31">
        <f t="shared" ca="1" si="4"/>
        <v>0</v>
      </c>
      <c r="L48" s="11">
        <f t="shared" ca="1" si="5"/>
        <v>100</v>
      </c>
    </row>
    <row r="49" spans="2:12" ht="18" x14ac:dyDescent="0.25">
      <c r="B49" s="39" t="s">
        <v>55</v>
      </c>
      <c r="C49" s="37" t="s">
        <v>60</v>
      </c>
      <c r="D49" s="38">
        <v>44835</v>
      </c>
      <c r="E49" s="38">
        <v>44854</v>
      </c>
      <c r="F49" s="39"/>
      <c r="G49" s="39"/>
      <c r="H49" s="39"/>
      <c r="I49" s="39"/>
      <c r="J49" s="40">
        <v>0</v>
      </c>
      <c r="K49" s="31">
        <f t="shared" ca="1" si="4"/>
        <v>0</v>
      </c>
      <c r="L49" s="11">
        <f t="shared" ca="1" si="5"/>
        <v>100</v>
      </c>
    </row>
    <row r="50" spans="2:12" ht="18" x14ac:dyDescent="0.25">
      <c r="B50" s="39"/>
      <c r="C50" s="37"/>
      <c r="D50" s="38"/>
      <c r="E50" s="38"/>
      <c r="F50" s="39"/>
      <c r="G50" s="39"/>
      <c r="H50" s="39"/>
      <c r="I50" s="39"/>
      <c r="J50" s="40"/>
      <c r="K50" s="31" t="str">
        <f t="shared" ca="1" si="4"/>
        <v/>
      </c>
      <c r="L50" s="11" t="str">
        <f t="shared" ca="1" si="5"/>
        <v/>
      </c>
    </row>
    <row r="51" spans="2:12" ht="18" x14ac:dyDescent="0.25">
      <c r="B51" s="39"/>
      <c r="C51" s="37"/>
      <c r="D51" s="38"/>
      <c r="E51" s="38"/>
      <c r="F51" s="39"/>
      <c r="G51" s="39"/>
      <c r="H51" s="39"/>
      <c r="I51" s="39"/>
      <c r="J51" s="40"/>
      <c r="K51" s="31" t="str">
        <f t="shared" ca="1" si="0"/>
        <v/>
      </c>
      <c r="L51" s="11" t="str">
        <f t="shared" ca="1" si="1"/>
        <v/>
      </c>
    </row>
    <row r="52" spans="2:12" ht="18" x14ac:dyDescent="0.25">
      <c r="B52" s="39"/>
      <c r="C52" s="37"/>
      <c r="D52" s="38"/>
      <c r="E52" s="38"/>
      <c r="F52" s="39"/>
      <c r="G52" s="39"/>
      <c r="H52" s="39"/>
      <c r="I52" s="39"/>
      <c r="J52" s="40"/>
      <c r="K52" s="31" t="str">
        <f t="shared" ca="1" si="0"/>
        <v/>
      </c>
      <c r="L52" s="11" t="str">
        <f t="shared" ca="1" si="1"/>
        <v/>
      </c>
    </row>
    <row r="53" spans="2:12" ht="18" x14ac:dyDescent="0.25">
      <c r="B53" s="39"/>
      <c r="C53" s="37"/>
      <c r="D53" s="38"/>
      <c r="E53" s="38"/>
      <c r="F53" s="39"/>
      <c r="G53" s="39"/>
      <c r="H53" s="39"/>
      <c r="I53" s="39"/>
      <c r="J53" s="40"/>
      <c r="K53" s="31" t="str">
        <f t="shared" ca="1" si="0"/>
        <v/>
      </c>
      <c r="L53" s="11" t="str">
        <f t="shared" ca="1" si="1"/>
        <v/>
      </c>
    </row>
    <row r="54" spans="2:12" ht="18" x14ac:dyDescent="0.25">
      <c r="B54" s="39"/>
      <c r="C54" s="41"/>
      <c r="D54" s="38"/>
      <c r="E54" s="38"/>
      <c r="F54" s="39"/>
      <c r="G54" s="39"/>
      <c r="H54" s="39"/>
      <c r="I54" s="39"/>
      <c r="J54" s="40"/>
      <c r="K54" s="31" t="str">
        <f t="shared" ca="1" si="0"/>
        <v/>
      </c>
      <c r="L54" s="11" t="str">
        <f t="shared" ca="1" si="1"/>
        <v/>
      </c>
    </row>
    <row r="55" spans="2:12" ht="18" x14ac:dyDescent="0.25">
      <c r="B55" s="39"/>
      <c r="C55" s="41"/>
      <c r="D55" s="38"/>
      <c r="E55" s="38"/>
      <c r="F55" s="39"/>
      <c r="G55" s="39"/>
      <c r="H55" s="39"/>
      <c r="I55" s="39"/>
      <c r="J55" s="40"/>
      <c r="K55" s="31" t="str">
        <f t="shared" ca="1" si="0"/>
        <v/>
      </c>
      <c r="L55" s="11" t="str">
        <f t="shared" ca="1" si="1"/>
        <v/>
      </c>
    </row>
    <row r="56" spans="2:12" ht="18" x14ac:dyDescent="0.25">
      <c r="B56" s="39"/>
      <c r="C56" s="41"/>
      <c r="D56" s="38"/>
      <c r="E56" s="38"/>
      <c r="F56" s="39"/>
      <c r="G56" s="39"/>
      <c r="H56" s="39"/>
      <c r="I56" s="39"/>
      <c r="J56" s="40"/>
      <c r="K56" s="31" t="str">
        <f t="shared" ref="K56:K60" ca="1" si="6">IF(E56&gt;0,IF(TODAY()&gt;=E56,1,IF(TODAY()&lt;D56,0,(TODAY()-D56)/(E56-D56))),"")</f>
        <v/>
      </c>
      <c r="L56" s="11" t="str">
        <f t="shared" ref="L56:L60" ca="1" si="7">IF(ISNUMBER(K56),IF(J56&gt;=K56*0.9999,100,IF(J56&gt;K56*0.6,33,0)),"")</f>
        <v/>
      </c>
    </row>
    <row r="57" spans="2:12" ht="18" x14ac:dyDescent="0.25">
      <c r="B57" s="39"/>
      <c r="C57" s="41"/>
      <c r="D57" s="38"/>
      <c r="E57" s="38"/>
      <c r="F57" s="39"/>
      <c r="G57" s="39"/>
      <c r="H57" s="39"/>
      <c r="I57" s="39"/>
      <c r="J57" s="40"/>
      <c r="K57" s="31" t="str">
        <f t="shared" ca="1" si="6"/>
        <v/>
      </c>
      <c r="L57" s="11" t="str">
        <f t="shared" ca="1" si="7"/>
        <v/>
      </c>
    </row>
    <row r="58" spans="2:12" ht="18" x14ac:dyDescent="0.25">
      <c r="B58" s="39"/>
      <c r="C58" s="41"/>
      <c r="D58" s="38"/>
      <c r="E58" s="38"/>
      <c r="F58" s="39"/>
      <c r="G58" s="39"/>
      <c r="H58" s="39"/>
      <c r="I58" s="39"/>
      <c r="J58" s="40"/>
      <c r="K58" s="31" t="str">
        <f t="shared" ca="1" si="6"/>
        <v/>
      </c>
      <c r="L58" s="11" t="str">
        <f t="shared" ca="1" si="7"/>
        <v/>
      </c>
    </row>
    <row r="59" spans="2:12" ht="18" x14ac:dyDescent="0.25">
      <c r="B59" s="39"/>
      <c r="C59" s="41"/>
      <c r="D59" s="38"/>
      <c r="E59" s="38"/>
      <c r="F59" s="39"/>
      <c r="G59" s="39"/>
      <c r="H59" s="39"/>
      <c r="I59" s="39"/>
      <c r="J59" s="40"/>
      <c r="K59" s="31" t="str">
        <f t="shared" ca="1" si="6"/>
        <v/>
      </c>
      <c r="L59" s="11" t="str">
        <f t="shared" ca="1" si="7"/>
        <v/>
      </c>
    </row>
    <row r="60" spans="2:12" ht="18" x14ac:dyDescent="0.25">
      <c r="B60" s="39"/>
      <c r="C60" s="41"/>
      <c r="D60" s="38"/>
      <c r="E60" s="38"/>
      <c r="F60" s="39"/>
      <c r="G60" s="39"/>
      <c r="H60" s="39"/>
      <c r="I60" s="39"/>
      <c r="J60" s="40"/>
      <c r="K60" s="31" t="str">
        <f t="shared" ca="1" si="6"/>
        <v/>
      </c>
      <c r="L60" s="11" t="str">
        <f t="shared" ca="1" si="7"/>
        <v/>
      </c>
    </row>
    <row r="61" spans="2:12" ht="18" x14ac:dyDescent="0.25">
      <c r="B61" s="39"/>
      <c r="C61" s="41"/>
      <c r="D61" s="38"/>
      <c r="E61" s="38"/>
      <c r="F61" s="39"/>
      <c r="G61" s="39"/>
      <c r="H61" s="39"/>
      <c r="I61" s="39"/>
      <c r="J61" s="40"/>
      <c r="K61" s="31" t="str">
        <f t="shared" ca="1" si="0"/>
        <v/>
      </c>
      <c r="L61" s="11" t="str">
        <f t="shared" ca="1" si="1"/>
        <v/>
      </c>
    </row>
    <row r="62" spans="2:12" ht="18" x14ac:dyDescent="0.25">
      <c r="B62" s="39"/>
      <c r="C62" s="41"/>
      <c r="D62" s="38"/>
      <c r="E62" s="38"/>
      <c r="F62" s="39"/>
      <c r="G62" s="39"/>
      <c r="H62" s="39"/>
      <c r="I62" s="39"/>
      <c r="J62" s="40"/>
      <c r="K62" s="31" t="str">
        <f t="shared" ca="1" si="0"/>
        <v/>
      </c>
      <c r="L62" s="11" t="str">
        <f t="shared" ca="1" si="1"/>
        <v/>
      </c>
    </row>
    <row r="63" spans="2:12" ht="18" x14ac:dyDescent="0.25">
      <c r="B63" s="39"/>
      <c r="C63" s="41"/>
      <c r="D63" s="38"/>
      <c r="E63" s="38"/>
      <c r="F63" s="39"/>
      <c r="G63" s="39"/>
      <c r="H63" s="39"/>
      <c r="I63" s="39"/>
      <c r="J63" s="40"/>
      <c r="K63" s="31" t="str">
        <f t="shared" ca="1" si="0"/>
        <v/>
      </c>
      <c r="L63" s="11" t="str">
        <f t="shared" ca="1" si="1"/>
        <v/>
      </c>
    </row>
    <row r="64" spans="2:12" ht="18" x14ac:dyDescent="0.25">
      <c r="B64" s="39"/>
      <c r="C64" s="41"/>
      <c r="D64" s="38"/>
      <c r="E64" s="38"/>
      <c r="F64" s="39"/>
      <c r="G64" s="39"/>
      <c r="H64" s="39"/>
      <c r="I64" s="39"/>
      <c r="J64" s="40"/>
      <c r="K64" s="31" t="str">
        <f t="shared" ca="1" si="0"/>
        <v/>
      </c>
      <c r="L64" s="11" t="str">
        <f t="shared" ca="1" si="1"/>
        <v/>
      </c>
    </row>
    <row r="65" spans="2:12" ht="18" x14ac:dyDescent="0.25">
      <c r="B65" s="39"/>
      <c r="C65" s="41"/>
      <c r="D65" s="38"/>
      <c r="E65" s="38"/>
      <c r="F65" s="39"/>
      <c r="G65" s="39"/>
      <c r="H65" s="39"/>
      <c r="I65" s="39"/>
      <c r="J65" s="40"/>
      <c r="K65" s="31" t="str">
        <f t="shared" ca="1" si="0"/>
        <v/>
      </c>
      <c r="L65" s="11" t="str">
        <f t="shared" ca="1" si="1"/>
        <v/>
      </c>
    </row>
    <row r="66" spans="2:12" ht="18.600000000000001" thickBot="1" x14ac:dyDescent="0.3">
      <c r="B66" s="44"/>
      <c r="C66" s="42"/>
      <c r="D66" s="43"/>
      <c r="E66" s="43"/>
      <c r="F66" s="44"/>
      <c r="G66" s="44"/>
      <c r="H66" s="44"/>
      <c r="I66" s="44"/>
      <c r="J66" s="45"/>
      <c r="K66" s="32" t="str">
        <f t="shared" ca="1" si="0"/>
        <v/>
      </c>
      <c r="L66" s="33" t="str">
        <f t="shared" ca="1" si="1"/>
        <v/>
      </c>
    </row>
    <row r="67" spans="2:12" ht="13.8" thickBot="1" x14ac:dyDescent="0.3">
      <c r="B67" s="34"/>
      <c r="C67" s="35"/>
      <c r="D67" s="35"/>
      <c r="E67" s="35"/>
      <c r="F67" s="35"/>
      <c r="G67" s="35"/>
      <c r="H67" s="35"/>
      <c r="I67" s="35"/>
      <c r="J67" s="35"/>
      <c r="K67" s="35"/>
      <c r="L67" s="36"/>
    </row>
  </sheetData>
  <autoFilter ref="A7:L7" xr:uid="{00000000-0009-0000-0000-000000000000}"/>
  <mergeCells count="13">
    <mergeCell ref="K7:K8"/>
    <mergeCell ref="L7:L8"/>
    <mergeCell ref="B67:L67"/>
    <mergeCell ref="G1:L3"/>
    <mergeCell ref="B4:L5"/>
    <mergeCell ref="B7:B8"/>
    <mergeCell ref="C7:C8"/>
    <mergeCell ref="D7:E7"/>
    <mergeCell ref="F7:F8"/>
    <mergeCell ref="G7:G8"/>
    <mergeCell ref="H7:H8"/>
    <mergeCell ref="I7:I8"/>
    <mergeCell ref="J7:J8"/>
  </mergeCells>
  <conditionalFormatting sqref="L9">
    <cfRule type="iconSet" priority="14">
      <iconSet iconSet="3Symbols" showValue="0">
        <cfvo type="percent" val="0"/>
        <cfvo type="num" val="33"/>
        <cfvo type="num" val="67"/>
      </iconSet>
    </cfRule>
  </conditionalFormatting>
  <conditionalFormatting sqref="L10:L13 L61:L66">
    <cfRule type="iconSet" priority="13">
      <iconSet iconSet="3Symbols" showValue="0">
        <cfvo type="percent" val="0"/>
        <cfvo type="num" val="33"/>
        <cfvo type="num" val="67"/>
      </iconSet>
    </cfRule>
  </conditionalFormatting>
  <conditionalFormatting sqref="L56:L60">
    <cfRule type="iconSet" priority="12">
      <iconSet iconSet="3Symbols" showValue="0">
        <cfvo type="percent" val="0"/>
        <cfvo type="num" val="33"/>
        <cfvo type="num" val="67"/>
      </iconSet>
    </cfRule>
  </conditionalFormatting>
  <conditionalFormatting sqref="L51:L55">
    <cfRule type="iconSet" priority="11">
      <iconSet iconSet="3Symbols" showValue="0">
        <cfvo type="percent" val="0"/>
        <cfvo type="num" val="33"/>
        <cfvo type="num" val="67"/>
      </iconSet>
    </cfRule>
  </conditionalFormatting>
  <conditionalFormatting sqref="L48:L50">
    <cfRule type="iconSet" priority="9">
      <iconSet iconSet="3Symbols" showValue="0">
        <cfvo type="percent" val="0"/>
        <cfvo type="num" val="33"/>
        <cfvo type="num" val="67"/>
      </iconSet>
    </cfRule>
  </conditionalFormatting>
  <conditionalFormatting sqref="L43:L47">
    <cfRule type="iconSet" priority="8">
      <iconSet iconSet="3Symbols" showValue="0">
        <cfvo type="percent" val="0"/>
        <cfvo type="num" val="33"/>
        <cfvo type="num" val="67"/>
      </iconSet>
    </cfRule>
  </conditionalFormatting>
  <conditionalFormatting sqref="L38:L42">
    <cfRule type="iconSet" priority="7">
      <iconSet iconSet="3Symbols" showValue="0">
        <cfvo type="percent" val="0"/>
        <cfvo type="num" val="33"/>
        <cfvo type="num" val="67"/>
      </iconSet>
    </cfRule>
  </conditionalFormatting>
  <conditionalFormatting sqref="L37">
    <cfRule type="iconSet" priority="6">
      <iconSet iconSet="3Symbols" showValue="0">
        <cfvo type="percent" val="0"/>
        <cfvo type="num" val="33"/>
        <cfvo type="num" val="67"/>
      </iconSet>
    </cfRule>
  </conditionalFormatting>
  <conditionalFormatting sqref="L32:L36">
    <cfRule type="iconSet" priority="5">
      <iconSet iconSet="3Symbols" showValue="0">
        <cfvo type="percent" val="0"/>
        <cfvo type="num" val="33"/>
        <cfvo type="num" val="67"/>
      </iconSet>
    </cfRule>
  </conditionalFormatting>
  <conditionalFormatting sqref="L27:L31">
    <cfRule type="iconSet" priority="4">
      <iconSet iconSet="3Symbols" showValue="0">
        <cfvo type="percent" val="0"/>
        <cfvo type="num" val="33"/>
        <cfvo type="num" val="67"/>
      </iconSet>
    </cfRule>
  </conditionalFormatting>
  <conditionalFormatting sqref="L24:L26">
    <cfRule type="iconSet" priority="3">
      <iconSet iconSet="3Symbols" showValue="0">
        <cfvo type="percent" val="0"/>
        <cfvo type="num" val="33"/>
        <cfvo type="num" val="67"/>
      </iconSet>
    </cfRule>
  </conditionalFormatting>
  <conditionalFormatting sqref="L19:L23">
    <cfRule type="iconSet" priority="2">
      <iconSet iconSet="3Symbols" showValue="0">
        <cfvo type="percent" val="0"/>
        <cfvo type="num" val="33"/>
        <cfvo type="num" val="67"/>
      </iconSet>
    </cfRule>
  </conditionalFormatting>
  <conditionalFormatting sqref="L14:L18">
    <cfRule type="iconSet" priority="1">
      <iconSet iconSet="3Symbols" showValue="0">
        <cfvo type="percent" val="0"/>
        <cfvo type="num" val="33"/>
        <cfvo type="num" val="67"/>
      </iconSet>
    </cfRule>
  </conditionalFormatting>
  <dataValidations count="1">
    <dataValidation allowBlank="1" showInputMessage="1" showErrorMessage="1" promptTitle="Situação atual" prompt="A partir das datas previstas de início e fim e do percentual completo para a ação a planilha calcula qual a situação atual de cada ação. Ações com um X vermelho exigem atenção urgente." sqref="L9:L66" xr:uid="{00000000-0002-0000-0000-000000000000}"/>
  </dataValidations>
  <printOptions horizontalCentered="1" gridLines="1"/>
  <pageMargins left="1" right="1" top="0.984251969" bottom="0.984251969" header="0.5" footer="0.5"/>
  <pageSetup scale="55" orientation="landscape" horizontalDpi="300" verticalDpi="300" r:id="rId1"/>
  <headerFooter alignWithMargins="0">
    <oddHeader>&amp;C&amp;"Arial,Bold Italic"&amp;11&lt;Project Name&gt;
RACI Matrix</oddHeader>
    <oddFooter>&amp;L&amp;"Arial Narrow,Regular"&amp;8Date Last Updated:
Version:&amp;C&amp;"Arial Narrow,Regular"&amp;8Template Copyright © 2007, Resource Alliance.  Used by Permission.    &amp;"Arial,Regular"&amp;9                            &amp;R&amp;"Arial Narrow,Regular"&amp;8&amp;P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5W2H_radardeprojetos</vt:lpstr>
      <vt:lpstr>'5W2H_radardeprojetos'!Titulos_de_impressao</vt:lpstr>
    </vt:vector>
  </TitlesOfParts>
  <Company>PMO em Foco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5W2H</dc:title>
  <dc:creator>radardeprojetos@gmail.com;Gabriela Sabino</dc:creator>
  <cp:keywords>radardeprojetos@gmail.com; Gabriela Sabino</cp:keywords>
  <dc:description>www.radardeprojetos.com.br</dc:description>
  <cp:lastModifiedBy>Gabbie Sabino</cp:lastModifiedBy>
  <cp:lastPrinted>2021-06-08T23:31:35Z</cp:lastPrinted>
  <dcterms:created xsi:type="dcterms:W3CDTF">1999-07-01T11:39:10Z</dcterms:created>
  <dcterms:modified xsi:type="dcterms:W3CDTF">2022-05-02T22:14:11Z</dcterms:modified>
  <cp:category>Templates</cp:category>
  <cp:contentStatus>Radar de Projetos</cp:contentStatus>
  <dc:language>Português</dc:language>
</cp:coreProperties>
</file>