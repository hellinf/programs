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HORA PAR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<sst xmlns="http://schemas.openxmlformats.org/spreadsheetml/2006/main" uniqueCount="121">
  <si>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Cálculo Horas Paradas - Trans War</t>
  </si>
  <si>
    <t>Destino</t>
  </si>
  <si>
    <t>Transportadora</t>
  </si>
  <si>
    <t>Manifesto</t>
  </si>
  <si>
    <t>Placa Cavalo</t>
  </si>
  <si>
    <t>Placa Carreta</t>
  </si>
  <si>
    <t>Data Agendamento</t>
  </si>
  <si>
    <t>Data Apresentação</t>
  </si>
  <si>
    <t>Data Saída</t>
  </si>
  <si>
    <t>Total Dias</t>
  </si>
  <si>
    <t>Dias Considerado</t>
  </si>
  <si>
    <t>Diária</t>
  </si>
  <si>
    <t>Total com ICMS</t>
  </si>
  <si>
    <t>Status Autorização</t>
  </si>
  <si>
    <t>ID</t>
  </si>
  <si>
    <t>Anápolis</t>
  </si>
  <si>
    <t>TRANSWAR</t>
  </si>
  <si>
    <t>JDF4D00</t>
  </si>
  <si>
    <t>DWG5F96</t>
  </si>
  <si>
    <t>01/12/2025</t>
  </si>
  <si>
    <t>01/12/2025 07:55</t>
  </si>
  <si>
    <t>02/12/2025 15:24</t>
  </si>
  <si>
    <t>Autorizada</t>
  </si>
  <si>
    <t>DVS5346</t>
  </si>
  <si>
    <t>GDJ3H96</t>
  </si>
  <si>
    <t>02/12/2025</t>
  </si>
  <si>
    <t>02/12/2025 06:30</t>
  </si>
  <si>
    <t>04/12/2025 16:00</t>
  </si>
  <si>
    <t>PJQ0G99</t>
  </si>
  <si>
    <t>TJY0D37</t>
  </si>
  <si>
    <t>02/12/2025 09:40</t>
  </si>
  <si>
    <t>09/12/2025 10:02</t>
  </si>
  <si>
    <t>EXJ5I12</t>
  </si>
  <si>
    <t>GJW2F06</t>
  </si>
  <si>
    <t>03/12/2025</t>
  </si>
  <si>
    <t>03/12/2025 11:03</t>
  </si>
  <si>
    <t>05/12/2025 12:00</t>
  </si>
  <si>
    <t>PRO1E79</t>
  </si>
  <si>
    <t>TJP4C78</t>
  </si>
  <si>
    <t>04/12/2025</t>
  </si>
  <si>
    <t>04/12/2025 13:20</t>
  </si>
  <si>
    <t>06/12/2025 11:30</t>
  </si>
  <si>
    <t>DJB5035</t>
  </si>
  <si>
    <t>TLV3B46</t>
  </si>
  <si>
    <t>04/12/2025 06:30</t>
  </si>
  <si>
    <t>08/12/2025 14:30</t>
  </si>
  <si>
    <t>Cosmed-An</t>
  </si>
  <si>
    <t>DUT9205</t>
  </si>
  <si>
    <t>BDL0C58</t>
  </si>
  <si>
    <t>05/12/2025</t>
  </si>
  <si>
    <t>05/12/2025 12:51</t>
  </si>
  <si>
    <t>10/12/2025 15:42</t>
  </si>
  <si>
    <t>OKQ6D96</t>
  </si>
  <si>
    <t>TLA0D40</t>
  </si>
  <si>
    <t>05/12/2025 06:30</t>
  </si>
  <si>
    <t>11/12/2025 14:30</t>
  </si>
  <si>
    <t>Aguardando Autorização</t>
  </si>
  <si>
    <t>FIG6657</t>
  </si>
  <si>
    <t>08/12/2025 11:00</t>
  </si>
  <si>
    <t>BFZ4827</t>
  </si>
  <si>
    <t>05/12/2025 09:00</t>
  </si>
  <si>
    <t>09/12/2025 12:00</t>
  </si>
  <si>
    <t>FKC6I76</t>
  </si>
  <si>
    <t>05/12/2025 07:15</t>
  </si>
  <si>
    <t>06/12/2025 09:13</t>
  </si>
  <si>
    <t>JQI0F00</t>
  </si>
  <si>
    <t>GDH5C16</t>
  </si>
  <si>
    <t>06/12/2025</t>
  </si>
  <si>
    <t>06/12/2025 06:30</t>
  </si>
  <si>
    <t>08/12/2025 09:38</t>
  </si>
  <si>
    <t>JOT3J81</t>
  </si>
  <si>
    <t>EOW0H46</t>
  </si>
  <si>
    <t>06/12/2025 07:50</t>
  </si>
  <si>
    <t>08/12/2025 16:06</t>
  </si>
  <si>
    <t>TJC0D86</t>
  </si>
  <si>
    <t>08/12/2025</t>
  </si>
  <si>
    <t>08/12/2025 07:40</t>
  </si>
  <si>
    <t>11/12/2025 12:06</t>
  </si>
  <si>
    <t>MFR9J91</t>
  </si>
  <si>
    <t>08/12/2025 10:12</t>
  </si>
  <si>
    <t>10/12/2025 15:18</t>
  </si>
  <si>
    <t>NGM7515</t>
  </si>
  <si>
    <t>BWL7442</t>
  </si>
  <si>
    <t>09/12/2025</t>
  </si>
  <si>
    <t>09/12/2025 10:15</t>
  </si>
  <si>
    <t>11/12/2025 10:00</t>
  </si>
  <si>
    <t>BWG8E42</t>
  </si>
  <si>
    <t>CZB3A80</t>
  </si>
  <si>
    <t>10/12/2025</t>
  </si>
  <si>
    <t>10/12/2025 06:30</t>
  </si>
  <si>
    <t>12/12/2025 09:09</t>
  </si>
  <si>
    <t>10/12/2025 08:57</t>
  </si>
  <si>
    <t>12/12/2025 10:50</t>
  </si>
  <si>
    <t>ESU5181</t>
  </si>
  <si>
    <t>EYG3789</t>
  </si>
  <si>
    <t>10/12/2025 07:27</t>
  </si>
  <si>
    <t>12/12/2025 11:50</t>
  </si>
  <si>
    <t>DVS7J84</t>
  </si>
  <si>
    <t>CUJ3F88</t>
  </si>
  <si>
    <t>CYN4058</t>
  </si>
  <si>
    <t>10/12/2025 13:44</t>
  </si>
  <si>
    <t>11/12/2025 17:08</t>
  </si>
  <si>
    <t>GDF5I66</t>
  </si>
  <si>
    <t>12/12/2025</t>
  </si>
  <si>
    <t>12/12/2025 07:58</t>
  </si>
  <si>
    <t>15/12/2025 11:23</t>
  </si>
  <si>
    <t>GCZ6I06</t>
  </si>
  <si>
    <t>12/12/2025 08:10</t>
  </si>
  <si>
    <t>13/12/2025 08:50</t>
  </si>
  <si>
    <t>16/12/2025 14:57</t>
  </si>
  <si>
    <t>15/12/2025</t>
  </si>
  <si>
    <t>15/12/2025 10:15</t>
  </si>
  <si>
    <t>17/12/2025 10:50</t>
  </si>
  <si>
    <t>DAO5865</t>
  </si>
  <si>
    <t>15/12/2025 10:35</t>
  </si>
  <si>
    <t>16/12/2025 19:29</t>
  </si>
  <si>
    <t>TKW5B58</t>
  </si>
  <si>
    <t>16/12/2025</t>
  </si>
  <si>
    <t>16/12/2025 22:37</t>
  </si>
  <si>
    <t>18/12/2025 14:30</t>
  </si>
  <si>
    <t>TOTAL:</t>
  </si>
</sst>
</file>

<file path=xl/styles.xml><?xml version="1.0" encoding="utf-8"?>
<styleSheet xmlns="http://schemas.openxmlformats.org/spreadsheetml/2006/main" xml:space="preserve">
  <numFmts count="2">
    <numFmt numFmtId="164" formatCode="R$  #,##0.00"/>
    <numFmt numFmtId="165" formatCode="dd/mm/yyyy hh:mm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7FE2E"/>
        <bgColor rgb="FF000000"/>
      </patternFill>
    </fill>
    <fill>
      <patternFill patternType="solid">
        <fgColor rgb="A6A6A6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2" borderId="1" applyFont="0" applyNumberFormat="1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A1" sqref="A1:N2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10" customWidth="true" style="0"/>
    <col min="4" max="4" width="10" customWidth="true" style="0"/>
    <col min="5" max="5" width="10" customWidth="true" style="0"/>
    <col min="6" max="6" width="15" customWidth="true" style="0"/>
    <col min="7" max="7" width="20" customWidth="true" style="0"/>
    <col min="8" max="8" width="20" customWidth="true" style="0"/>
    <col min="9" max="9" width="14" customWidth="true" style="0"/>
    <col min="10" max="10" width="18" customWidth="true" style="0"/>
    <col min="11" max="11" width="13" customWidth="true" style="0"/>
    <col min="12" max="12" width="20" customWidth="true" style="0"/>
    <col min="13" max="13" width="30" customWidth="true" style="0"/>
    <col min="14" max="14" width="7" customWidth="true" style="0"/>
  </cols>
  <sheetData>
    <row r="1" spans="1:14" customHeight="1" ht="3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>
      <c r="A3" s="3" t="s">
        <v>15</v>
      </c>
      <c r="B3" s="3" t="s">
        <v>16</v>
      </c>
      <c r="C3" s="3">
        <v>29058</v>
      </c>
      <c r="D3" s="3" t="s">
        <v>17</v>
      </c>
      <c r="E3" s="3" t="s">
        <v>18</v>
      </c>
      <c r="F3" s="5" t="s">
        <v>19</v>
      </c>
      <c r="G3" s="5" t="s">
        <v>20</v>
      </c>
      <c r="H3" s="5" t="s">
        <v>21</v>
      </c>
      <c r="I3" s="6">
        <f>1.31</f>
        <v>1.31</v>
      </c>
      <c r="J3" s="6">
        <f>if(I3&lt;1,0,I3-1)</f>
        <v>0.31</v>
      </c>
      <c r="K3" s="1">
        <v>1320</v>
      </c>
      <c r="L3" s="1">
        <f>if(m3="indeferido",0,j3*K3/0.93)</f>
        <v>0</v>
      </c>
      <c r="M3" s="3" t="s">
        <v>22</v>
      </c>
      <c r="N3" s="3">
        <v>10870</v>
      </c>
    </row>
    <row r="4" spans="1:14">
      <c r="A4" s="3" t="s">
        <v>15</v>
      </c>
      <c r="B4" s="3" t="s">
        <v>16</v>
      </c>
      <c r="C4" s="3">
        <v>29116</v>
      </c>
      <c r="D4" s="3" t="s">
        <v>23</v>
      </c>
      <c r="E4" s="3" t="s">
        <v>24</v>
      </c>
      <c r="F4" s="5" t="s">
        <v>25</v>
      </c>
      <c r="G4" s="5" t="s">
        <v>26</v>
      </c>
      <c r="H4" s="5" t="s">
        <v>27</v>
      </c>
      <c r="I4" s="6">
        <f>2.4</f>
        <v>2.4</v>
      </c>
      <c r="J4" s="6">
        <f>if(I4&lt;1,0,I4-1)</f>
        <v>1.4</v>
      </c>
      <c r="K4" s="1">
        <v>1320</v>
      </c>
      <c r="L4" s="1">
        <f>if(m4="indeferido",0,j4*K4/0.93)</f>
        <v>0</v>
      </c>
      <c r="M4" s="3" t="s">
        <v>22</v>
      </c>
      <c r="N4" s="3">
        <v>10928</v>
      </c>
    </row>
    <row r="5" spans="1:14">
      <c r="A5" s="3" t="s">
        <v>15</v>
      </c>
      <c r="B5" s="3" t="s">
        <v>16</v>
      </c>
      <c r="C5" s="3">
        <v>29113</v>
      </c>
      <c r="D5" s="3" t="s">
        <v>28</v>
      </c>
      <c r="E5" s="3" t="s">
        <v>29</v>
      </c>
      <c r="F5" s="5" t="s">
        <v>25</v>
      </c>
      <c r="G5" s="5" t="s">
        <v>30</v>
      </c>
      <c r="H5" s="5" t="s">
        <v>31</v>
      </c>
      <c r="I5" s="6">
        <f>7.02</f>
        <v>7.02</v>
      </c>
      <c r="J5" s="6">
        <f>if(I5&lt;1,0,I5-1)</f>
        <v>6.02</v>
      </c>
      <c r="K5" s="1">
        <v>1320</v>
      </c>
      <c r="L5" s="1">
        <f>if(m5="indeferido",0,j5*K5/0.93)</f>
        <v>0</v>
      </c>
      <c r="M5" s="3" t="s">
        <v>22</v>
      </c>
      <c r="N5" s="3">
        <v>10833</v>
      </c>
    </row>
    <row r="6" spans="1:14">
      <c r="A6" s="3" t="s">
        <v>15</v>
      </c>
      <c r="B6" s="3" t="s">
        <v>16</v>
      </c>
      <c r="C6" s="3">
        <v>29169</v>
      </c>
      <c r="D6" s="3" t="s">
        <v>32</v>
      </c>
      <c r="E6" s="3" t="s">
        <v>33</v>
      </c>
      <c r="F6" s="5" t="s">
        <v>34</v>
      </c>
      <c r="G6" s="5" t="s">
        <v>35</v>
      </c>
      <c r="H6" s="5" t="s">
        <v>36</v>
      </c>
      <c r="I6" s="6">
        <f>2.04</f>
        <v>2.04</v>
      </c>
      <c r="J6" s="6">
        <f>if(I6&lt;1,0,I6-1)</f>
        <v>1.04</v>
      </c>
      <c r="K6" s="1">
        <v>1320</v>
      </c>
      <c r="L6" s="1">
        <f>if(m6="indeferido",0,j6*K6/0.93)</f>
        <v>0</v>
      </c>
      <c r="M6" s="3" t="s">
        <v>22</v>
      </c>
      <c r="N6" s="3">
        <v>10838</v>
      </c>
    </row>
    <row r="7" spans="1:14">
      <c r="A7" s="3" t="s">
        <v>15</v>
      </c>
      <c r="B7" s="3" t="s">
        <v>16</v>
      </c>
      <c r="C7" s="3">
        <v>29234</v>
      </c>
      <c r="D7" s="3" t="s">
        <v>37</v>
      </c>
      <c r="E7" s="3" t="s">
        <v>38</v>
      </c>
      <c r="F7" s="5" t="s">
        <v>39</v>
      </c>
      <c r="G7" s="5" t="s">
        <v>40</v>
      </c>
      <c r="H7" s="5" t="s">
        <v>41</v>
      </c>
      <c r="I7" s="6">
        <f>1.92</f>
        <v>1.92</v>
      </c>
      <c r="J7" s="6">
        <f>if(I7&lt;1,0,I7-1)</f>
        <v>0.92</v>
      </c>
      <c r="K7" s="1">
        <v>1320</v>
      </c>
      <c r="L7" s="1">
        <f>if(m7="indeferido",0,j7*K7/0.93)</f>
        <v>0</v>
      </c>
      <c r="M7" s="3" t="s">
        <v>22</v>
      </c>
      <c r="N7" s="3">
        <v>10999</v>
      </c>
    </row>
    <row r="8" spans="1:14">
      <c r="A8" s="3" t="s">
        <v>15</v>
      </c>
      <c r="B8" s="3" t="s">
        <v>16</v>
      </c>
      <c r="C8" s="3">
        <v>29233</v>
      </c>
      <c r="D8" s="3" t="s">
        <v>42</v>
      </c>
      <c r="E8" s="3" t="s">
        <v>43</v>
      </c>
      <c r="F8" s="5" t="s">
        <v>39</v>
      </c>
      <c r="G8" s="5" t="s">
        <v>44</v>
      </c>
      <c r="H8" s="5" t="s">
        <v>45</v>
      </c>
      <c r="I8" s="6">
        <f>4.33</f>
        <v>4.33</v>
      </c>
      <c r="J8" s="6">
        <f>if(I8&lt;1,0,I8-1)</f>
        <v>3.33</v>
      </c>
      <c r="K8" s="1">
        <v>1320</v>
      </c>
      <c r="L8" s="1">
        <f>if(m8="indeferido",0,j8*K8/0.93)</f>
        <v>0</v>
      </c>
      <c r="M8" s="3" t="s">
        <v>22</v>
      </c>
      <c r="N8" s="3">
        <v>10910</v>
      </c>
    </row>
    <row r="9" spans="1:14">
      <c r="A9" s="3" t="s">
        <v>46</v>
      </c>
      <c r="B9" s="3" t="s">
        <v>16</v>
      </c>
      <c r="C9" s="3">
        <v>29287</v>
      </c>
      <c r="D9" s="3" t="s">
        <v>47</v>
      </c>
      <c r="E9" s="3" t="s">
        <v>48</v>
      </c>
      <c r="F9" s="5" t="s">
        <v>49</v>
      </c>
      <c r="G9" s="5" t="s">
        <v>50</v>
      </c>
      <c r="H9" s="5" t="s">
        <v>51</v>
      </c>
      <c r="I9" s="6">
        <f>5.12</f>
        <v>5.12</v>
      </c>
      <c r="J9" s="6">
        <f>if(I9&lt;1,0,I9-1)</f>
        <v>4.12</v>
      </c>
      <c r="K9" s="1">
        <v>1320</v>
      </c>
      <c r="L9" s="1">
        <f>if(m9="indeferido",0,j9*K9/0.93)</f>
        <v>0</v>
      </c>
      <c r="M9" s="3" t="s">
        <v>22</v>
      </c>
      <c r="N9" s="3">
        <v>11002</v>
      </c>
    </row>
    <row r="10" spans="1:14">
      <c r="A10" s="3" t="s">
        <v>15</v>
      </c>
      <c r="B10" s="3" t="s">
        <v>16</v>
      </c>
      <c r="C10" s="3">
        <v>29288</v>
      </c>
      <c r="D10" s="3" t="s">
        <v>52</v>
      </c>
      <c r="E10" s="3" t="s">
        <v>53</v>
      </c>
      <c r="F10" s="5" t="s">
        <v>49</v>
      </c>
      <c r="G10" s="5" t="s">
        <v>54</v>
      </c>
      <c r="H10" s="5" t="s">
        <v>55</v>
      </c>
      <c r="I10" s="6">
        <f>6.33</f>
        <v>6.33</v>
      </c>
      <c r="J10" s="6">
        <f>if(I10&lt;1,0,I10-1)</f>
        <v>5.33</v>
      </c>
      <c r="K10" s="1">
        <v>1320</v>
      </c>
      <c r="L10" s="1">
        <f>if(m10="indeferido",0,j10*K10/0.93)</f>
        <v>0</v>
      </c>
      <c r="M10" s="3" t="s">
        <v>56</v>
      </c>
      <c r="N10" s="3">
        <v>11003</v>
      </c>
    </row>
    <row r="11" spans="1:14">
      <c r="A11" s="3" t="s">
        <v>15</v>
      </c>
      <c r="B11" s="3" t="s">
        <v>16</v>
      </c>
      <c r="C11" s="3">
        <v>29284</v>
      </c>
      <c r="D11" s="3" t="s">
        <v>17</v>
      </c>
      <c r="E11" s="3" t="s">
        <v>57</v>
      </c>
      <c r="F11" s="5" t="s">
        <v>49</v>
      </c>
      <c r="G11" s="5" t="s">
        <v>54</v>
      </c>
      <c r="H11" s="5" t="s">
        <v>58</v>
      </c>
      <c r="I11" s="6">
        <f>3.19</f>
        <v>3.19</v>
      </c>
      <c r="J11" s="6">
        <f>if(I11&lt;1,0,I11-1)</f>
        <v>2.19</v>
      </c>
      <c r="K11" s="1">
        <v>1320</v>
      </c>
      <c r="L11" s="1">
        <f>if(m11="indeferido",0,j11*K11/0.93)</f>
        <v>0</v>
      </c>
      <c r="M11" s="3" t="s">
        <v>22</v>
      </c>
      <c r="N11" s="3">
        <v>10991</v>
      </c>
    </row>
    <row r="12" spans="1:14">
      <c r="A12" s="3" t="s">
        <v>15</v>
      </c>
      <c r="B12" s="3" t="s">
        <v>16</v>
      </c>
      <c r="C12" s="3">
        <v>29285</v>
      </c>
      <c r="D12" s="3" t="s">
        <v>28</v>
      </c>
      <c r="E12" s="3" t="s">
        <v>59</v>
      </c>
      <c r="F12" s="5" t="s">
        <v>49</v>
      </c>
      <c r="G12" s="5" t="s">
        <v>60</v>
      </c>
      <c r="H12" s="5" t="s">
        <v>61</v>
      </c>
      <c r="I12" s="6">
        <f>4.13</f>
        <v>4.13</v>
      </c>
      <c r="J12" s="6">
        <f>if(I12&lt;1,0,I12-1)</f>
        <v>3.13</v>
      </c>
      <c r="K12" s="1">
        <v>1320</v>
      </c>
      <c r="L12" s="1">
        <f>if(m12="indeferido",0,j12*K12/0.93)</f>
        <v>0</v>
      </c>
      <c r="M12" s="3" t="s">
        <v>22</v>
      </c>
      <c r="N12" s="3">
        <v>10977</v>
      </c>
    </row>
    <row r="13" spans="1:14">
      <c r="A13" s="3" t="s">
        <v>15</v>
      </c>
      <c r="B13" s="3" t="s">
        <v>16</v>
      </c>
      <c r="C13" s="3">
        <v>29301</v>
      </c>
      <c r="D13" s="3" t="s">
        <v>23</v>
      </c>
      <c r="E13" s="3" t="s">
        <v>62</v>
      </c>
      <c r="F13" s="5" t="s">
        <v>49</v>
      </c>
      <c r="G13" s="5" t="s">
        <v>63</v>
      </c>
      <c r="H13" s="5" t="s">
        <v>64</v>
      </c>
      <c r="I13" s="6">
        <f>1.08</f>
        <v>1.08</v>
      </c>
      <c r="J13" s="6">
        <f>if(I13&lt;1,0,I13-1)</f>
        <v>0.08</v>
      </c>
      <c r="K13" s="1">
        <v>1320</v>
      </c>
      <c r="L13" s="1">
        <f>if(m13="indeferido",0,j13*K13/0.93)</f>
        <v>0</v>
      </c>
      <c r="M13" s="3" t="s">
        <v>56</v>
      </c>
      <c r="N13" s="3">
        <v>11058</v>
      </c>
    </row>
    <row r="14" spans="1:14">
      <c r="A14" s="3" t="s">
        <v>15</v>
      </c>
      <c r="B14" s="3" t="s">
        <v>16</v>
      </c>
      <c r="C14" s="3">
        <v>29349</v>
      </c>
      <c r="D14" s="3" t="s">
        <v>65</v>
      </c>
      <c r="E14" s="3" t="s">
        <v>66</v>
      </c>
      <c r="F14" s="5" t="s">
        <v>67</v>
      </c>
      <c r="G14" s="5" t="s">
        <v>68</v>
      </c>
      <c r="H14" s="5" t="s">
        <v>69</v>
      </c>
      <c r="I14" s="6">
        <f>2.13</f>
        <v>2.13</v>
      </c>
      <c r="J14" s="6">
        <f>if(I14&lt;1,0,I14-1)</f>
        <v>1.13</v>
      </c>
      <c r="K14" s="1">
        <v>1320</v>
      </c>
      <c r="L14" s="1">
        <f>if(m14="indeferido",0,j14*K14/0.93)</f>
        <v>0</v>
      </c>
      <c r="M14" s="3" t="s">
        <v>56</v>
      </c>
      <c r="N14" s="3">
        <v>11035</v>
      </c>
    </row>
    <row r="15" spans="1:14">
      <c r="A15" s="3" t="s">
        <v>15</v>
      </c>
      <c r="B15" s="3" t="s">
        <v>16</v>
      </c>
      <c r="C15" s="3">
        <v>29346</v>
      </c>
      <c r="D15" s="3" t="s">
        <v>70</v>
      </c>
      <c r="E15" s="3" t="s">
        <v>71</v>
      </c>
      <c r="F15" s="5" t="s">
        <v>67</v>
      </c>
      <c r="G15" s="5" t="s">
        <v>72</v>
      </c>
      <c r="H15" s="5" t="s">
        <v>73</v>
      </c>
      <c r="I15" s="6">
        <f>2.34</f>
        <v>2.34</v>
      </c>
      <c r="J15" s="6">
        <f>if(I15&lt;1,0,I15-1)</f>
        <v>1.34</v>
      </c>
      <c r="K15" s="1">
        <v>1320</v>
      </c>
      <c r="L15" s="1">
        <f>if(m15="indeferido",0,j15*K15/0.93)</f>
        <v>0</v>
      </c>
      <c r="M15" s="3" t="s">
        <v>56</v>
      </c>
      <c r="N15" s="3">
        <v>11033</v>
      </c>
    </row>
    <row r="16" spans="1:14">
      <c r="A16" s="3" t="s">
        <v>15</v>
      </c>
      <c r="B16" s="3" t="s">
        <v>16</v>
      </c>
      <c r="C16" s="3">
        <v>29359</v>
      </c>
      <c r="D16" s="3" t="s">
        <v>37</v>
      </c>
      <c r="E16" s="3" t="s">
        <v>74</v>
      </c>
      <c r="F16" s="5" t="s">
        <v>75</v>
      </c>
      <c r="G16" s="5" t="s">
        <v>76</v>
      </c>
      <c r="H16" s="5" t="s">
        <v>77</v>
      </c>
      <c r="I16" s="6">
        <f>3.18</f>
        <v>3.18</v>
      </c>
      <c r="J16" s="6">
        <f>if(I16&lt;1,0,I16-1)</f>
        <v>2.18</v>
      </c>
      <c r="K16" s="1">
        <v>1320</v>
      </c>
      <c r="L16" s="1">
        <f>if(m16="indeferido",0,j16*K16/0.93)</f>
        <v>0</v>
      </c>
      <c r="M16" s="3" t="s">
        <v>56</v>
      </c>
      <c r="N16" s="3">
        <v>11038</v>
      </c>
    </row>
    <row r="17" spans="1:14">
      <c r="A17" s="3" t="s">
        <v>15</v>
      </c>
      <c r="B17" s="3" t="s">
        <v>16</v>
      </c>
      <c r="C17" s="3">
        <v>29396</v>
      </c>
      <c r="D17" s="3" t="s">
        <v>52</v>
      </c>
      <c r="E17" s="3" t="s">
        <v>78</v>
      </c>
      <c r="F17" s="5" t="s">
        <v>75</v>
      </c>
      <c r="G17" s="5" t="s">
        <v>79</v>
      </c>
      <c r="H17" s="5" t="s">
        <v>80</v>
      </c>
      <c r="I17" s="6">
        <f>2.21</f>
        <v>2.21</v>
      </c>
      <c r="J17" s="6">
        <f>if(I17&lt;1,0,I17-1)</f>
        <v>1.21</v>
      </c>
      <c r="K17" s="1">
        <v>1320</v>
      </c>
      <c r="L17" s="1">
        <f>if(m17="indeferido",0,j17*K17/0.93)</f>
        <v>0</v>
      </c>
      <c r="M17" s="3" t="s">
        <v>56</v>
      </c>
      <c r="N17" s="3">
        <v>11031</v>
      </c>
    </row>
    <row r="18" spans="1:14">
      <c r="A18" s="3" t="s">
        <v>15</v>
      </c>
      <c r="B18" s="3" t="s">
        <v>16</v>
      </c>
      <c r="C18" s="3">
        <v>29423</v>
      </c>
      <c r="D18" s="3" t="s">
        <v>81</v>
      </c>
      <c r="E18" s="3" t="s">
        <v>82</v>
      </c>
      <c r="F18" s="5" t="s">
        <v>83</v>
      </c>
      <c r="G18" s="5" t="s">
        <v>84</v>
      </c>
      <c r="H18" s="5" t="s">
        <v>85</v>
      </c>
      <c r="I18" s="6">
        <f>1.99</f>
        <v>1.99</v>
      </c>
      <c r="J18" s="6">
        <f>if(I18&lt;1,0,I18-1)</f>
        <v>0.99</v>
      </c>
      <c r="K18" s="1">
        <v>1320</v>
      </c>
      <c r="L18" s="1">
        <f>if(m18="indeferido",0,j18*K18/0.93)</f>
        <v>0</v>
      </c>
      <c r="M18" s="3" t="s">
        <v>56</v>
      </c>
      <c r="N18" s="3">
        <v>11085</v>
      </c>
    </row>
    <row r="19" spans="1:14">
      <c r="A19" s="3" t="s">
        <v>15</v>
      </c>
      <c r="B19" s="3" t="s">
        <v>16</v>
      </c>
      <c r="C19" s="3">
        <v>29471</v>
      </c>
      <c r="D19" s="3" t="s">
        <v>86</v>
      </c>
      <c r="E19" s="3" t="s">
        <v>87</v>
      </c>
      <c r="F19" s="5" t="s">
        <v>88</v>
      </c>
      <c r="G19" s="5" t="s">
        <v>89</v>
      </c>
      <c r="H19" s="5" t="s">
        <v>90</v>
      </c>
      <c r="I19" s="6">
        <f>2.11</f>
        <v>2.11</v>
      </c>
      <c r="J19" s="6">
        <f>if(I19&lt;1,0,I19-1)</f>
        <v>1.11</v>
      </c>
      <c r="K19" s="1">
        <v>1320</v>
      </c>
      <c r="L19" s="1">
        <f>if(m19="indeferido",0,j19*K19/0.93)</f>
        <v>0</v>
      </c>
      <c r="M19" s="3" t="s">
        <v>56</v>
      </c>
      <c r="N19" s="3">
        <v>11096</v>
      </c>
    </row>
    <row r="20" spans="1:14">
      <c r="A20" s="3" t="s">
        <v>15</v>
      </c>
      <c r="B20" s="3" t="s">
        <v>16</v>
      </c>
      <c r="C20" s="3">
        <v>29467</v>
      </c>
      <c r="D20" s="3" t="s">
        <v>65</v>
      </c>
      <c r="E20" s="3" t="s">
        <v>38</v>
      </c>
      <c r="F20" s="5" t="s">
        <v>88</v>
      </c>
      <c r="G20" s="5" t="s">
        <v>91</v>
      </c>
      <c r="H20" s="5" t="s">
        <v>92</v>
      </c>
      <c r="I20" s="6">
        <f>2.08</f>
        <v>2.08</v>
      </c>
      <c r="J20" s="6">
        <f>if(I20&lt;1,0,I20-1)</f>
        <v>1.08</v>
      </c>
      <c r="K20" s="1">
        <v>1320</v>
      </c>
      <c r="L20" s="1">
        <f>if(m20="indeferido",0,j20*K20/0.93)</f>
        <v>0</v>
      </c>
      <c r="M20" s="3" t="s">
        <v>56</v>
      </c>
      <c r="N20" s="3">
        <v>11066</v>
      </c>
    </row>
    <row r="21" spans="1:14">
      <c r="A21" s="3" t="s">
        <v>15</v>
      </c>
      <c r="B21" s="3" t="s">
        <v>16</v>
      </c>
      <c r="C21" s="3">
        <v>29474</v>
      </c>
      <c r="D21" s="3" t="s">
        <v>93</v>
      </c>
      <c r="E21" s="3" t="s">
        <v>94</v>
      </c>
      <c r="F21" s="5" t="s">
        <v>88</v>
      </c>
      <c r="G21" s="5" t="s">
        <v>95</v>
      </c>
      <c r="H21" s="5" t="s">
        <v>96</v>
      </c>
      <c r="I21" s="6">
        <f>2.18</f>
        <v>2.18</v>
      </c>
      <c r="J21" s="6">
        <f>if(I21&lt;1,0,I21-1)</f>
        <v>1.18</v>
      </c>
      <c r="K21" s="1">
        <v>1320</v>
      </c>
      <c r="L21" s="1">
        <f>if(m21="indeferido",0,j21*K21/0.93)</f>
        <v>0</v>
      </c>
      <c r="M21" s="3" t="s">
        <v>56</v>
      </c>
      <c r="N21" s="3">
        <v>11082</v>
      </c>
    </row>
    <row r="22" spans="1:14">
      <c r="A22" s="3" t="s">
        <v>15</v>
      </c>
      <c r="B22" s="3" t="s">
        <v>16</v>
      </c>
      <c r="C22" s="3">
        <v>29465</v>
      </c>
      <c r="D22" s="3" t="s">
        <v>97</v>
      </c>
      <c r="E22" s="3" t="s">
        <v>98</v>
      </c>
      <c r="F22" s="5" t="s">
        <v>88</v>
      </c>
      <c r="G22" s="5" t="s">
        <v>89</v>
      </c>
      <c r="H22" s="5" t="s">
        <v>96</v>
      </c>
      <c r="I22" s="6">
        <f>2.22</f>
        <v>2.22</v>
      </c>
      <c r="J22" s="6">
        <f>if(I22&lt;1,0,I22-1)</f>
        <v>1.22</v>
      </c>
      <c r="K22" s="1">
        <v>1320</v>
      </c>
      <c r="L22" s="1">
        <f>if(m22="indeferido",0,j22*K22/0.93)</f>
        <v>0</v>
      </c>
      <c r="M22" s="3" t="s">
        <v>56</v>
      </c>
      <c r="N22" s="3">
        <v>11081</v>
      </c>
    </row>
    <row r="23" spans="1:14">
      <c r="A23" s="3" t="s">
        <v>15</v>
      </c>
      <c r="B23" s="3" t="s">
        <v>16</v>
      </c>
      <c r="C23" s="3">
        <v>29438</v>
      </c>
      <c r="D23" s="3" t="s">
        <v>99</v>
      </c>
      <c r="E23" s="3"/>
      <c r="F23" s="5" t="s">
        <v>88</v>
      </c>
      <c r="G23" s="5" t="s">
        <v>100</v>
      </c>
      <c r="H23" s="5" t="s">
        <v>101</v>
      </c>
      <c r="I23" s="6">
        <f>1.14</f>
        <v>1.14</v>
      </c>
      <c r="J23" s="6">
        <f>if(I23&lt;1,0,I23-1)</f>
        <v>0.14</v>
      </c>
      <c r="K23" s="1">
        <v>1320</v>
      </c>
      <c r="L23" s="1">
        <f>if(m23="indeferido",0,j23*K23/0.93)</f>
        <v>0</v>
      </c>
      <c r="M23" s="3" t="s">
        <v>56</v>
      </c>
      <c r="N23" s="3">
        <v>11167</v>
      </c>
    </row>
    <row r="24" spans="1:14">
      <c r="A24" s="3" t="s">
        <v>15</v>
      </c>
      <c r="B24" s="3" t="s">
        <v>16</v>
      </c>
      <c r="C24" s="3">
        <v>29567</v>
      </c>
      <c r="D24" s="3" t="s">
        <v>42</v>
      </c>
      <c r="E24" s="3" t="s">
        <v>102</v>
      </c>
      <c r="F24" s="5" t="s">
        <v>103</v>
      </c>
      <c r="G24" s="5" t="s">
        <v>104</v>
      </c>
      <c r="H24" s="5" t="s">
        <v>105</v>
      </c>
      <c r="I24" s="6">
        <f>3.14</f>
        <v>3.14</v>
      </c>
      <c r="J24" s="6">
        <f>if(I24&lt;1,0,I24-1)</f>
        <v>2.14</v>
      </c>
      <c r="K24" s="1">
        <v>1320</v>
      </c>
      <c r="L24" s="1">
        <f>if(m24="indeferido",0,j24*K24/0.93)</f>
        <v>0</v>
      </c>
      <c r="M24" s="3" t="s">
        <v>56</v>
      </c>
      <c r="N24" s="3">
        <v>11131</v>
      </c>
    </row>
    <row r="25" spans="1:14">
      <c r="A25" s="3" t="s">
        <v>15</v>
      </c>
      <c r="B25" s="3" t="s">
        <v>16</v>
      </c>
      <c r="C25" s="3">
        <v>29570</v>
      </c>
      <c r="D25" s="3" t="s">
        <v>37</v>
      </c>
      <c r="E25" s="3" t="s">
        <v>106</v>
      </c>
      <c r="F25" s="5" t="s">
        <v>103</v>
      </c>
      <c r="G25" s="5" t="s">
        <v>107</v>
      </c>
      <c r="H25" s="5" t="s">
        <v>108</v>
      </c>
      <c r="I25" s="6">
        <f>1.03</f>
        <v>1.03</v>
      </c>
      <c r="J25" s="6">
        <f>if(I25&lt;1,0,I25-1)</f>
        <v>0.03</v>
      </c>
      <c r="K25" s="1">
        <v>1320</v>
      </c>
      <c r="L25" s="1">
        <f>if(m25="indeferido",0,j25*K25/0.93)</f>
        <v>0</v>
      </c>
      <c r="M25" s="3" t="s">
        <v>56</v>
      </c>
      <c r="N25" s="3">
        <v>11155</v>
      </c>
    </row>
    <row r="26" spans="1:14">
      <c r="A26" s="3" t="s">
        <v>15</v>
      </c>
      <c r="B26" s="3" t="s">
        <v>16</v>
      </c>
      <c r="C26" s="3">
        <v>29567</v>
      </c>
      <c r="D26" s="3" t="s">
        <v>42</v>
      </c>
      <c r="E26" s="3" t="s">
        <v>102</v>
      </c>
      <c r="F26" s="5" t="s">
        <v>103</v>
      </c>
      <c r="G26" s="5" t="s">
        <v>107</v>
      </c>
      <c r="H26" s="5" t="s">
        <v>109</v>
      </c>
      <c r="I26" s="6">
        <f>4.28</f>
        <v>4.28</v>
      </c>
      <c r="J26" s="6">
        <f>if(I26&lt;1,0,I26-1)</f>
        <v>3.28</v>
      </c>
      <c r="K26" s="1">
        <v>1320</v>
      </c>
      <c r="L26" s="1">
        <f>if(m26="indeferido",0,j26*K26/0.93)</f>
        <v>0</v>
      </c>
      <c r="M26" s="3" t="s">
        <v>56</v>
      </c>
      <c r="N26" s="3">
        <v>10854</v>
      </c>
    </row>
    <row r="27" spans="1:14">
      <c r="A27" s="3" t="s">
        <v>15</v>
      </c>
      <c r="B27" s="3" t="s">
        <v>16</v>
      </c>
      <c r="C27" s="3">
        <v>29627</v>
      </c>
      <c r="D27" s="3" t="s">
        <v>28</v>
      </c>
      <c r="E27" s="3" t="s">
        <v>78</v>
      </c>
      <c r="F27" s="5" t="s">
        <v>110</v>
      </c>
      <c r="G27" s="5" t="s">
        <v>111</v>
      </c>
      <c r="H27" s="5" t="s">
        <v>112</v>
      </c>
      <c r="I27" s="6">
        <f>2.02</f>
        <v>2.02</v>
      </c>
      <c r="J27" s="6">
        <f>if(I27&lt;1,0,I27-1)</f>
        <v>1.02</v>
      </c>
      <c r="K27" s="1">
        <v>1320</v>
      </c>
      <c r="L27" s="1">
        <f>if(m27="indeferido",0,j27*K27/0.93)</f>
        <v>0</v>
      </c>
      <c r="M27" s="3" t="s">
        <v>56</v>
      </c>
      <c r="N27" s="3">
        <v>11124</v>
      </c>
    </row>
    <row r="28" spans="1:14">
      <c r="A28" s="3" t="s">
        <v>15</v>
      </c>
      <c r="B28" s="3" t="s">
        <v>16</v>
      </c>
      <c r="C28" s="3">
        <v>29642</v>
      </c>
      <c r="D28" s="3" t="s">
        <v>97</v>
      </c>
      <c r="E28" s="3" t="s">
        <v>113</v>
      </c>
      <c r="F28" s="5" t="s">
        <v>110</v>
      </c>
      <c r="G28" s="5" t="s">
        <v>114</v>
      </c>
      <c r="H28" s="5" t="s">
        <v>115</v>
      </c>
      <c r="I28" s="6">
        <f>1.37</f>
        <v>1.37</v>
      </c>
      <c r="J28" s="6">
        <f>if(I28&lt;1,0,I28-1)</f>
        <v>0.37</v>
      </c>
      <c r="K28" s="1">
        <v>1320</v>
      </c>
      <c r="L28" s="1">
        <f>if(m28="indeferido",0,j28*K28/0.93)</f>
        <v>0</v>
      </c>
      <c r="M28" s="3" t="s">
        <v>56</v>
      </c>
      <c r="N28" s="3">
        <v>11167</v>
      </c>
    </row>
    <row r="29" spans="1:14">
      <c r="A29" s="3" t="s">
        <v>46</v>
      </c>
      <c r="B29" s="3" t="s">
        <v>16</v>
      </c>
      <c r="C29" s="3">
        <v>29695</v>
      </c>
      <c r="D29" s="3" t="s">
        <v>47</v>
      </c>
      <c r="E29" s="3" t="s">
        <v>116</v>
      </c>
      <c r="F29" s="5" t="s">
        <v>117</v>
      </c>
      <c r="G29" s="5" t="s">
        <v>118</v>
      </c>
      <c r="H29" s="5" t="s">
        <v>119</v>
      </c>
      <c r="I29" s="6">
        <f>1.66</f>
        <v>1.66</v>
      </c>
      <c r="J29" s="6">
        <f>if(I29&lt;1,0,I29-1)</f>
        <v>0.66</v>
      </c>
      <c r="K29" s="1">
        <v>1320</v>
      </c>
      <c r="L29" s="1">
        <f>if(m29="indeferido",0,j29*K29/0.93)</f>
        <v>0</v>
      </c>
      <c r="M29" s="3" t="s">
        <v>56</v>
      </c>
      <c r="N29" s="3">
        <v>11151</v>
      </c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2" t="s">
        <v>120</v>
      </c>
      <c r="L30" s="2">
        <f>SUM(L3:L29)</f>
        <v>0</v>
      </c>
      <c r="M30" s="4"/>
      <c r="N30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HORA PARADA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2025-12-30T15:00:34-03:00</dcterms:created>
  <dcterms:modified xsi:type="dcterms:W3CDTF">2025-12-30T15:00:34-03:00</dcterms:modified>
  <dc:title>Untitled Spreadsheet</dc:title>
  <dc:description/>
  <dc:subject/>
  <cp:keywords/>
  <cp:category/>
</cp:coreProperties>
</file>